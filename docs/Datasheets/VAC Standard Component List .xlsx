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filterPrivacy="1" defaultThemeVersion="124226"/>
  <xr:revisionPtr revIDLastSave="0" documentId="13_ncr:1_{41DA9263-63ED-2947-B986-9B853EA4B6AD}" xr6:coauthVersionLast="47" xr6:coauthVersionMax="47" xr10:uidLastSave="{00000000-0000-0000-0000-000000000000}"/>
  <bookViews>
    <workbookView xWindow="0" yWindow="580" windowWidth="25600" windowHeight="15140" activeTab="4" xr2:uid="{00000000-000D-0000-FFFF-FFFF00000000}"/>
  </bookViews>
  <sheets>
    <sheet name="Ball Valve socket weld" sheetId="1" r:id="rId1"/>
    <sheet name="Valmet Actuator" sheetId="3" r:id="rId2"/>
    <sheet name="Valmet LSB" sheetId="4" r:id="rId3"/>
    <sheet name="SOV" sheetId="5" r:id="rId4"/>
    <sheet name="AFR" sheetId="6" r:id="rId5"/>
    <sheet name="MOR" sheetId="7" r:id="rId6"/>
    <sheet name="POSITIONER" sheetId="8" r:id="rId7"/>
    <sheet name="Ball valve flanged end" sheetId="2" r:id="rId8"/>
    <sheet name="MARSH ELECTRICAL ACTUATOR" sheetId="9" r:id="rId9"/>
    <sheet name="BUTTERFLY VALVE PN10" sheetId="10" r:id="rId10"/>
    <sheet name="BUTTERFLY VALVE PN16" sheetId="11" r:id="rId11"/>
  </sheets>
  <externalReferences>
    <externalReference r:id="rId12"/>
  </externalReferences>
  <definedNames>
    <definedName name="_xlnm._FilterDatabase" localSheetId="1" hidden="1">'Valmet Actuator'!$B$1:$B$232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8" l="1"/>
  <c r="M1" i="6"/>
  <c r="W5" i="5"/>
  <c r="V5" i="5"/>
  <c r="W3" i="5"/>
  <c r="V3" i="5"/>
  <c r="W4" i="5"/>
  <c r="V4" i="5"/>
  <c r="W2" i="5"/>
  <c r="V2" i="5"/>
  <c r="R2" i="4"/>
  <c r="G2" i="7" l="1"/>
  <c r="F2" i="7"/>
</calcChain>
</file>

<file path=xl/sharedStrings.xml><?xml version="1.0" encoding="utf-8"?>
<sst xmlns="http://schemas.openxmlformats.org/spreadsheetml/2006/main" count="4824" uniqueCount="669">
  <si>
    <t>BV1205</t>
  </si>
  <si>
    <t>L3FSWC-015mm</t>
  </si>
  <si>
    <t>L&amp;T</t>
  </si>
  <si>
    <t>Ball Valve</t>
  </si>
  <si>
    <t>IS0 17292</t>
  </si>
  <si>
    <t>ISO 7-1</t>
  </si>
  <si>
    <t>2Way, 3pc, Full Bore, Floating</t>
  </si>
  <si>
    <t>Bi-Directional</t>
  </si>
  <si>
    <t>ASTM A 105</t>
  </si>
  <si>
    <t>Standard</t>
  </si>
  <si>
    <t>ASTM A479 Type 316</t>
  </si>
  <si>
    <t>ASTM A351 Gr. CF8M / ASTM A182 Gr. F316</t>
  </si>
  <si>
    <t>PTFE</t>
  </si>
  <si>
    <t>Socket  - weld ends</t>
  </si>
  <si>
    <t>Class 800</t>
  </si>
  <si>
    <t>-20˚C</t>
  </si>
  <si>
    <t>180˚C</t>
  </si>
  <si>
    <t>ISO 5208</t>
  </si>
  <si>
    <t>Water</t>
  </si>
  <si>
    <t>Air</t>
  </si>
  <si>
    <t>None</t>
  </si>
  <si>
    <t>BV1206</t>
  </si>
  <si>
    <t>L3RSWC-020mm</t>
  </si>
  <si>
    <t>2Way, 3pc, Regular Bore, Floating</t>
  </si>
  <si>
    <t>BV1207</t>
  </si>
  <si>
    <t>L3RSWC-025mm</t>
  </si>
  <si>
    <t>BV1209</t>
  </si>
  <si>
    <t>L3RSWC-040mm</t>
  </si>
  <si>
    <t>BV1210</t>
  </si>
  <si>
    <t>L3RSWC-050mm</t>
  </si>
  <si>
    <t>BV1211</t>
  </si>
  <si>
    <t>L3FSWS-008mm</t>
  </si>
  <si>
    <t>ASTM A 351 Gr. CF8M</t>
  </si>
  <si>
    <t>XX</t>
  </si>
  <si>
    <t>BV1212</t>
  </si>
  <si>
    <t>L3FSWS-010mm</t>
  </si>
  <si>
    <t>BV1213</t>
  </si>
  <si>
    <t>L3FSWS-015mm</t>
  </si>
  <si>
    <t>BV1214</t>
  </si>
  <si>
    <t>L3RSWS-020mm</t>
  </si>
  <si>
    <t>BV1215</t>
  </si>
  <si>
    <t>L3RSWS-025mm</t>
  </si>
  <si>
    <t>BV1217</t>
  </si>
  <si>
    <t>L3RSWS-040mm</t>
  </si>
  <si>
    <t>BV1218</t>
  </si>
  <si>
    <t>L3RSWS-050mm</t>
  </si>
  <si>
    <t>BV1219</t>
  </si>
  <si>
    <t>L3FSWC-020mm</t>
  </si>
  <si>
    <t>BV1220</t>
  </si>
  <si>
    <t>L3FSWC-025mm</t>
  </si>
  <si>
    <t>BV1221</t>
  </si>
  <si>
    <t>L3FSWC-032mm</t>
  </si>
  <si>
    <t>ASTM A 216 Gr. WCB</t>
  </si>
  <si>
    <t>BV1222</t>
  </si>
  <si>
    <t>L3FSWC-040mm</t>
  </si>
  <si>
    <t>BV1223</t>
  </si>
  <si>
    <t>L3FSWC-050mm</t>
  </si>
  <si>
    <t>BV1224</t>
  </si>
  <si>
    <t>L3FSWS-020mm</t>
  </si>
  <si>
    <t>BV1225</t>
  </si>
  <si>
    <t>L3FSWS-025mm</t>
  </si>
  <si>
    <t>BV1226</t>
  </si>
  <si>
    <t>L3FSWS-032mm</t>
  </si>
  <si>
    <t>BV1227</t>
  </si>
  <si>
    <t>L3FSWS-040mm</t>
  </si>
  <si>
    <t>BV1228</t>
  </si>
  <si>
    <t>L3FSWS-050mm</t>
  </si>
  <si>
    <t>BV1528</t>
  </si>
  <si>
    <t>L3FSWSP-008mm</t>
  </si>
  <si>
    <t>Polyfil</t>
  </si>
  <si>
    <t>Class 600</t>
  </si>
  <si>
    <t>BV1529</t>
  </si>
  <si>
    <t>L3FSWSP-010mm</t>
  </si>
  <si>
    <t>BV1530</t>
  </si>
  <si>
    <t>L3FSWSP-015mm</t>
  </si>
  <si>
    <t>BV1531</t>
  </si>
  <si>
    <t>L3RSWSP-020mm</t>
  </si>
  <si>
    <t>BV1532</t>
  </si>
  <si>
    <t>L3RSWSP-025mm</t>
  </si>
  <si>
    <t>BV1533</t>
  </si>
  <si>
    <t>L3RSWSP-032mm</t>
  </si>
  <si>
    <t>BV1534</t>
  </si>
  <si>
    <t>L3RSWSP-040mm</t>
  </si>
  <si>
    <t>BV1535</t>
  </si>
  <si>
    <t>L3RSWSP-050mm</t>
  </si>
  <si>
    <t>Bare Valve Code</t>
  </si>
  <si>
    <t>Model</t>
  </si>
  <si>
    <t>Make</t>
  </si>
  <si>
    <t>Valve Type</t>
  </si>
  <si>
    <t>Design Standard</t>
  </si>
  <si>
    <t>Face to Face</t>
  </si>
  <si>
    <t>Valve Size</t>
  </si>
  <si>
    <t>Port Size</t>
  </si>
  <si>
    <t>Body Style</t>
  </si>
  <si>
    <t>Flow Direction</t>
  </si>
  <si>
    <t>Body &amp; Bonnet Material</t>
  </si>
  <si>
    <t>Type Of Bonnet</t>
  </si>
  <si>
    <t>Stem Material</t>
  </si>
  <si>
    <t>Trim Material</t>
  </si>
  <si>
    <t>Internal Type</t>
  </si>
  <si>
    <t>Seat Material</t>
  </si>
  <si>
    <t>Characteristics</t>
  </si>
  <si>
    <t>End Connections</t>
  </si>
  <si>
    <t>Flange Dimensions</t>
  </si>
  <si>
    <t>Drilling</t>
  </si>
  <si>
    <t>Bonnet Packing</t>
  </si>
  <si>
    <t>Body Packing</t>
  </si>
  <si>
    <t>Pressure Rating</t>
  </si>
  <si>
    <t>Min Temp Rating( Deg C)</t>
  </si>
  <si>
    <t>Max Temp Rating( Deg C)</t>
  </si>
  <si>
    <t>Valve Kv</t>
  </si>
  <si>
    <t>Hardware</t>
  </si>
  <si>
    <t>Testing Standard</t>
  </si>
  <si>
    <t>Leakage Class</t>
  </si>
  <si>
    <t>Body Hydro Test Pressure</t>
  </si>
  <si>
    <t>Body Hydro Test Fluid</t>
  </si>
  <si>
    <t>Seat Leakage Test Pressure</t>
  </si>
  <si>
    <t>Seat Leakage Test Fluid</t>
  </si>
  <si>
    <t>Product Group</t>
  </si>
  <si>
    <t>Certification</t>
  </si>
  <si>
    <t>SPR Rate (INR)</t>
  </si>
  <si>
    <t>Offer Rate</t>
  </si>
  <si>
    <t>L&amp;T LP 24</t>
  </si>
  <si>
    <t>Blank</t>
  </si>
  <si>
    <t>DN</t>
  </si>
  <si>
    <t>BTO</t>
  </si>
  <si>
    <t>ETO</t>
  </si>
  <si>
    <t>BTC</t>
  </si>
  <si>
    <t>ETC</t>
  </si>
  <si>
    <t>BV1101</t>
  </si>
  <si>
    <t>L2FF1C-015mm</t>
  </si>
  <si>
    <t>ASME B16.10</t>
  </si>
  <si>
    <t>2Way, 2pc, Full Bore, Floating</t>
  </si>
  <si>
    <t>Flanged to ASME B16.5 #150</t>
  </si>
  <si>
    <t>ASME B16.5 #150</t>
  </si>
  <si>
    <t>Graphite and Carbon-filled PTFE</t>
  </si>
  <si>
    <t>Graphite</t>
  </si>
  <si>
    <t>ASME Class 150</t>
  </si>
  <si>
    <t>BV1102</t>
  </si>
  <si>
    <t>L2FF1C-020mm</t>
  </si>
  <si>
    <t>BV1103</t>
  </si>
  <si>
    <t>L2FF1C-025mm</t>
  </si>
  <si>
    <t>BV1104</t>
  </si>
  <si>
    <t>L2FF1C-040mm</t>
  </si>
  <si>
    <t>BV1105</t>
  </si>
  <si>
    <t>L2FF1C-050mm</t>
  </si>
  <si>
    <t>BV1106</t>
  </si>
  <si>
    <t>L2FF1C-065mm</t>
  </si>
  <si>
    <t>BV1107</t>
  </si>
  <si>
    <t>L2FF1C-080mm</t>
  </si>
  <si>
    <t>BV1108</t>
  </si>
  <si>
    <t>L2FF1C-0100mm</t>
  </si>
  <si>
    <t>BV1109</t>
  </si>
  <si>
    <t>L2FF1C-0150mm</t>
  </si>
  <si>
    <t>BV1110</t>
  </si>
  <si>
    <t>L2FF1C-0200mm</t>
  </si>
  <si>
    <t>BV1111</t>
  </si>
  <si>
    <t>L2FF1S-015mm</t>
  </si>
  <si>
    <t>BV1112</t>
  </si>
  <si>
    <t>L2FF1S-020mm</t>
  </si>
  <si>
    <t>BV1113</t>
  </si>
  <si>
    <t>L2FF1S-025mm</t>
  </si>
  <si>
    <t>BV1114</t>
  </si>
  <si>
    <t>L2FF1S-040mm</t>
  </si>
  <si>
    <t>BV1115</t>
  </si>
  <si>
    <t>L2FF1S-050mm</t>
  </si>
  <si>
    <t>BV1116</t>
  </si>
  <si>
    <t>L2FF1S-065mm</t>
  </si>
  <si>
    <t>BV1117</t>
  </si>
  <si>
    <t>L2FF1S-080mm</t>
  </si>
  <si>
    <t>BV1118</t>
  </si>
  <si>
    <t>L2FF1S-0100mm</t>
  </si>
  <si>
    <t>BV1119</t>
  </si>
  <si>
    <t>L2FF1S-0150mm</t>
  </si>
  <si>
    <t>BV1120</t>
  </si>
  <si>
    <t>L2FF1S-0200mm</t>
  </si>
  <si>
    <t>BV1121</t>
  </si>
  <si>
    <t>L1FF1C-015mm</t>
  </si>
  <si>
    <t>2Way, 1pc, Full Bore, Floating</t>
  </si>
  <si>
    <t>BV1122</t>
  </si>
  <si>
    <t>L1RF1C-020mm</t>
  </si>
  <si>
    <t>2Way, 1pc, Regular Bore, Floating</t>
  </si>
  <si>
    <t>BV1123</t>
  </si>
  <si>
    <t>L1RF1C-025mm</t>
  </si>
  <si>
    <t>BV1124</t>
  </si>
  <si>
    <t>L1RF1C-040mm</t>
  </si>
  <si>
    <t>BV1125</t>
  </si>
  <si>
    <t>L1RF1C-050mm</t>
  </si>
  <si>
    <t>BV1126</t>
  </si>
  <si>
    <t>L1RF1C-065mm</t>
  </si>
  <si>
    <t>BV1127</t>
  </si>
  <si>
    <t>L1RF1C-080mm</t>
  </si>
  <si>
    <t>BV1128</t>
  </si>
  <si>
    <t>L1RF1C-100mm</t>
  </si>
  <si>
    <t>BV1129</t>
  </si>
  <si>
    <t>L1RF1C-150mm</t>
  </si>
  <si>
    <t>BV1130</t>
  </si>
  <si>
    <t>L1FF1S-015mm</t>
  </si>
  <si>
    <t>BV1131</t>
  </si>
  <si>
    <t>L1RF1S-020mm</t>
  </si>
  <si>
    <t>BV1132</t>
  </si>
  <si>
    <t>L1RF1S-025mm</t>
  </si>
  <si>
    <t>BV1133</t>
  </si>
  <si>
    <t>L1RF1S-040mm</t>
  </si>
  <si>
    <t>BV1134</t>
  </si>
  <si>
    <t>L1RF1S-050mm</t>
  </si>
  <si>
    <t>BV1135</t>
  </si>
  <si>
    <t>L1RF1S-065mm</t>
  </si>
  <si>
    <t>BV1136</t>
  </si>
  <si>
    <t>L1RF1S-080mm</t>
  </si>
  <si>
    <t>BV1137</t>
  </si>
  <si>
    <t>L1RF1S-100mm</t>
  </si>
  <si>
    <t>BV1138</t>
  </si>
  <si>
    <t>L1RF1S-150mm</t>
  </si>
  <si>
    <t>BV1245</t>
  </si>
  <si>
    <t>L3FF1C-015mm</t>
  </si>
  <si>
    <t>BV1246</t>
  </si>
  <si>
    <t>L3RF1C-020mm</t>
  </si>
  <si>
    <t>BV1247</t>
  </si>
  <si>
    <t>L3RF1C-025mm</t>
  </si>
  <si>
    <t>BV1248</t>
  </si>
  <si>
    <t>L3RF1C-040mm</t>
  </si>
  <si>
    <t>BV1249</t>
  </si>
  <si>
    <t>L3RF1C-050mm</t>
  </si>
  <si>
    <t>BV1250</t>
  </si>
  <si>
    <t>L3FF1S-015mm</t>
  </si>
  <si>
    <t>BV1251</t>
  </si>
  <si>
    <t>L3RF1S-020mm</t>
  </si>
  <si>
    <t>BV1252</t>
  </si>
  <si>
    <t>L3RF1S-025mm</t>
  </si>
  <si>
    <t>BV1253</t>
  </si>
  <si>
    <t>L3RF1S-040mm</t>
  </si>
  <si>
    <t>BV1254</t>
  </si>
  <si>
    <t>L3RF1S-050mm</t>
  </si>
  <si>
    <t>BV1327</t>
  </si>
  <si>
    <t>L1FF1CP-015mm</t>
  </si>
  <si>
    <t>BV1328</t>
  </si>
  <si>
    <t>L1RF1CP-020mm</t>
  </si>
  <si>
    <t>BV1329</t>
  </si>
  <si>
    <t>L1RF1CP-025mm</t>
  </si>
  <si>
    <t>BV1330</t>
  </si>
  <si>
    <t>L1RF1CP-040mm</t>
  </si>
  <si>
    <t>BV1331</t>
  </si>
  <si>
    <t>L1RF1CP-050mm</t>
  </si>
  <si>
    <t>BV1332</t>
  </si>
  <si>
    <t>L1RF1CP-065mm</t>
  </si>
  <si>
    <t>BV1333</t>
  </si>
  <si>
    <t>L1RF1CP-080mm</t>
  </si>
  <si>
    <t>BV1334</t>
  </si>
  <si>
    <t>L1RF1CP-100mm</t>
  </si>
  <si>
    <t>BV1335</t>
  </si>
  <si>
    <t>L1RF1CP-150mm</t>
  </si>
  <si>
    <t>BV1336</t>
  </si>
  <si>
    <t>L2FF1CP-015mm</t>
  </si>
  <si>
    <t>BV1337</t>
  </si>
  <si>
    <t>L2FF1CP-020mm</t>
  </si>
  <si>
    <t>BV1338</t>
  </si>
  <si>
    <t>L2FF1CP-025mm</t>
  </si>
  <si>
    <t>BV1339</t>
  </si>
  <si>
    <t>L2FF1CP-040mm</t>
  </si>
  <si>
    <t>BV1340</t>
  </si>
  <si>
    <t>L2FF1CP-050mm</t>
  </si>
  <si>
    <t>BV1341</t>
  </si>
  <si>
    <t>L2FF1CP-065mm</t>
  </si>
  <si>
    <t>BV1342</t>
  </si>
  <si>
    <t>L2FF1CP-080mm</t>
  </si>
  <si>
    <t>BV1343</t>
  </si>
  <si>
    <t>L2FF1CP-0100mm</t>
  </si>
  <si>
    <t>BV1344</t>
  </si>
  <si>
    <t>L2FF1CP-0150mm</t>
  </si>
  <si>
    <t>BV1345</t>
  </si>
  <si>
    <t>L2FF1CP-0200mm</t>
  </si>
  <si>
    <t>BV1480</t>
  </si>
  <si>
    <t>L1RF1SP-020mm</t>
  </si>
  <si>
    <t>BV1481</t>
  </si>
  <si>
    <t>L1RF1SP-025mm</t>
  </si>
  <si>
    <t>BV1482</t>
  </si>
  <si>
    <t>L1RF1SP-040mm</t>
  </si>
  <si>
    <t>BV1483</t>
  </si>
  <si>
    <t>L1RF1SP-050mm</t>
  </si>
  <si>
    <t>BV1484</t>
  </si>
  <si>
    <t>L1RF1SP-065mm</t>
  </si>
  <si>
    <t>BV1485</t>
  </si>
  <si>
    <t>L1RF1SP-080mm</t>
  </si>
  <si>
    <t>BV1486</t>
  </si>
  <si>
    <t>L1RF1SP-100mm</t>
  </si>
  <si>
    <t>BV1487</t>
  </si>
  <si>
    <t>L1RF1SP-150mm</t>
  </si>
  <si>
    <t>Bare Actuator Code</t>
  </si>
  <si>
    <t>Actuator Type</t>
  </si>
  <si>
    <t>Action</t>
  </si>
  <si>
    <t>Number of Springs</t>
  </si>
  <si>
    <t>Pneumatic Supply Minimum</t>
  </si>
  <si>
    <t>Pneumatic Supply Maximum</t>
  </si>
  <si>
    <t>Control Pressure</t>
  </si>
  <si>
    <t>Power Supply</t>
  </si>
  <si>
    <t>Pneumatic Connection</t>
  </si>
  <si>
    <t>Material</t>
  </si>
  <si>
    <t>Actuator Orientation</t>
  </si>
  <si>
    <t xml:space="preserve">Open to Close Time </t>
  </si>
  <si>
    <t>Power Consumption</t>
  </si>
  <si>
    <t>Enclosure Protection</t>
  </si>
  <si>
    <t>Temperature Rating Deg C</t>
  </si>
  <si>
    <t>Cost Rate (INR)</t>
  </si>
  <si>
    <t>Act Lock</t>
  </si>
  <si>
    <t>PA1001</t>
  </si>
  <si>
    <t>RNP040DN00DA1GD</t>
  </si>
  <si>
    <t>Neles (Valmet)</t>
  </si>
  <si>
    <t>Pneumatic Rack &amp; Pinion</t>
  </si>
  <si>
    <t>Double Acting - 90°</t>
  </si>
  <si>
    <t>6.5 bar(g)</t>
  </si>
  <si>
    <t>¼" NPT</t>
  </si>
  <si>
    <t>Aluminium + anodized (Only end caps are Powder coated)</t>
  </si>
  <si>
    <t>Parallel to Pipe Line Axis</t>
  </si>
  <si>
    <t xml:space="preserve"> 0 to 80</t>
  </si>
  <si>
    <t>PA1002</t>
  </si>
  <si>
    <t>RNP050DN00DA1GD</t>
  </si>
  <si>
    <t>PA1003</t>
  </si>
  <si>
    <t>RNP063DN00DA1GD</t>
  </si>
  <si>
    <t>PA1004</t>
  </si>
  <si>
    <t>RNP080DN00DA1GD</t>
  </si>
  <si>
    <t>PA1005</t>
  </si>
  <si>
    <t>RNP090DN00DA1GD</t>
  </si>
  <si>
    <t>PA1006</t>
  </si>
  <si>
    <t>RNP100DN00DA1GD</t>
  </si>
  <si>
    <t>PA1007</t>
  </si>
  <si>
    <t>RNP110DN00DA1GD</t>
  </si>
  <si>
    <t>PA1008</t>
  </si>
  <si>
    <t>RNP125DN00DA1GD</t>
  </si>
  <si>
    <t>PA1009</t>
  </si>
  <si>
    <t>RNP150DN00DA1GD</t>
  </si>
  <si>
    <t>PA1010</t>
  </si>
  <si>
    <t>RNP175DN00DA1GD</t>
  </si>
  <si>
    <t>PA1011</t>
  </si>
  <si>
    <t>RNP200DN00DA1GD</t>
  </si>
  <si>
    <t>PA1012</t>
  </si>
  <si>
    <t>RNP250DN00DA1GD</t>
  </si>
  <si>
    <t>PA1013</t>
  </si>
  <si>
    <t>RNP300DN00DA1GD</t>
  </si>
  <si>
    <t>½" NPT</t>
  </si>
  <si>
    <t>X</t>
  </si>
  <si>
    <t>PA1014</t>
  </si>
  <si>
    <t>RNP350DN00DA1GD</t>
  </si>
  <si>
    <t>Spring Return - 90°</t>
  </si>
  <si>
    <t>PA1016</t>
  </si>
  <si>
    <t>RNP40SR40CA1GD</t>
  </si>
  <si>
    <t>PA1019</t>
  </si>
  <si>
    <t>RNP50SR40CA1GD</t>
  </si>
  <si>
    <t>PA1022</t>
  </si>
  <si>
    <t>RNP63SR40CA1GD</t>
  </si>
  <si>
    <t>PA1025</t>
  </si>
  <si>
    <t>RNP80SR40CA1GD</t>
  </si>
  <si>
    <t>PA1028</t>
  </si>
  <si>
    <t>RNP90SR40CA1GD</t>
  </si>
  <si>
    <t>PA1031</t>
  </si>
  <si>
    <t>RNP100SR40CA1GD</t>
  </si>
  <si>
    <t>PA1034</t>
  </si>
  <si>
    <t>RNP110SR40CA1GD</t>
  </si>
  <si>
    <t>PA1037</t>
  </si>
  <si>
    <t>RNP125SR40CA1GD</t>
  </si>
  <si>
    <t>PA1040</t>
  </si>
  <si>
    <t>RNP150SR40CA1GD</t>
  </si>
  <si>
    <t>PA1043</t>
  </si>
  <si>
    <t>RNP175SR40CA1GD</t>
  </si>
  <si>
    <t>PA1046</t>
  </si>
  <si>
    <t>RNP200SR40CA1GD</t>
  </si>
  <si>
    <t>PA1049</t>
  </si>
  <si>
    <t>RNP250SR40CA1GD</t>
  </si>
  <si>
    <t>PA1052</t>
  </si>
  <si>
    <t>RNP300SR40CA1GD</t>
  </si>
  <si>
    <t>PA1055</t>
  </si>
  <si>
    <t>RNP350SR40CA1GD</t>
  </si>
  <si>
    <t>PA1113</t>
  </si>
  <si>
    <t>Perpendicular to Pipe Line Axis</t>
  </si>
  <si>
    <t>PA1114</t>
  </si>
  <si>
    <t>PA1115</t>
  </si>
  <si>
    <t>PA1116</t>
  </si>
  <si>
    <t>PA1117</t>
  </si>
  <si>
    <t>PA1118</t>
  </si>
  <si>
    <t>PA1119</t>
  </si>
  <si>
    <t>PA1120</t>
  </si>
  <si>
    <t>PA1121</t>
  </si>
  <si>
    <t>PA1122</t>
  </si>
  <si>
    <t>PA1123</t>
  </si>
  <si>
    <t>PA1124</t>
  </si>
  <si>
    <t>PA1125</t>
  </si>
  <si>
    <t>PA1126</t>
  </si>
  <si>
    <t>PA1128</t>
  </si>
  <si>
    <t>PA1131</t>
  </si>
  <si>
    <t>PA1134</t>
  </si>
  <si>
    <t>PA1137</t>
  </si>
  <si>
    <t>PA1140</t>
  </si>
  <si>
    <t>PA1143</t>
  </si>
  <si>
    <t>PA1146</t>
  </si>
  <si>
    <t>PA1149</t>
  </si>
  <si>
    <t>PA1152</t>
  </si>
  <si>
    <t>PA1155</t>
  </si>
  <si>
    <t>PA1158</t>
  </si>
  <si>
    <t>PA1161</t>
  </si>
  <si>
    <t>PA1164</t>
  </si>
  <si>
    <t>PA1167</t>
  </si>
  <si>
    <t>PA1225</t>
  </si>
  <si>
    <t>RNP50SR40AA1GD</t>
  </si>
  <si>
    <t>Spring Return - 90° - Fail to Open</t>
  </si>
  <si>
    <t>PA1226</t>
  </si>
  <si>
    <t>RNP63SR40AA1GD</t>
  </si>
  <si>
    <t>PA1227</t>
  </si>
  <si>
    <t>RNP125SR40AA1GD</t>
  </si>
  <si>
    <t>PA1228</t>
  </si>
  <si>
    <t>RNP250SR40AA1GD</t>
  </si>
  <si>
    <t>PA1229</t>
  </si>
  <si>
    <t>RNP40SR40AA1GD</t>
  </si>
  <si>
    <t>PA1230</t>
  </si>
  <si>
    <t>RNP90SR40AA1GD</t>
  </si>
  <si>
    <t>LSB Code</t>
  </si>
  <si>
    <t>Model number</t>
  </si>
  <si>
    <t>Action Type</t>
  </si>
  <si>
    <t>No. of Limit Switch</t>
  </si>
  <si>
    <t>Make &amp; Model of Switches</t>
  </si>
  <si>
    <t>Contact Rating</t>
  </si>
  <si>
    <t>Cable Entry</t>
  </si>
  <si>
    <t>Cable Gland</t>
  </si>
  <si>
    <t>Housing Material</t>
  </si>
  <si>
    <t>Enclosure</t>
  </si>
  <si>
    <t>Additional information 1</t>
  </si>
  <si>
    <t>Additional information 2</t>
  </si>
  <si>
    <t>Additional information 3</t>
  </si>
  <si>
    <t xml:space="preserve">Approval to Enclosure </t>
  </si>
  <si>
    <t>LB1001</t>
  </si>
  <si>
    <t>KC2V1A3NGRNN+BKT</t>
  </si>
  <si>
    <t>Rotary</t>
  </si>
  <si>
    <t>2 X SPDT</t>
  </si>
  <si>
    <t>Honeywell - V15S05-CZ100A05-01</t>
  </si>
  <si>
    <t>5A for 12A or 250 VAC, 100mA for 48 VDC, 30mA for 250 VDC</t>
  </si>
  <si>
    <t>2 X ½" NPT</t>
  </si>
  <si>
    <t>Nil</t>
  </si>
  <si>
    <t>Die Cast Aluminium</t>
  </si>
  <si>
    <t>Compact enclosure, weather proof</t>
  </si>
  <si>
    <t>Temperature Range : -20˚C to +80˚C</t>
  </si>
  <si>
    <t>Indicator : Red &amp; Yellow</t>
  </si>
  <si>
    <t>MS Bracket</t>
  </si>
  <si>
    <t>Solenoid Valve Code</t>
  </si>
  <si>
    <t>Size</t>
  </si>
  <si>
    <t>Body Material</t>
  </si>
  <si>
    <t>Internals</t>
  </si>
  <si>
    <t>Seat, Seals</t>
  </si>
  <si>
    <t>Solenoid Valve Type</t>
  </si>
  <si>
    <t>Mounting</t>
  </si>
  <si>
    <t>Operating Press. Range</t>
  </si>
  <si>
    <t>Operating Temp. Range</t>
  </si>
  <si>
    <t>Coil Class</t>
  </si>
  <si>
    <t>Coil power rating</t>
  </si>
  <si>
    <t>Coil terminals</t>
  </si>
  <si>
    <t>Coil enclosure</t>
  </si>
  <si>
    <t>Coil Voltage</t>
  </si>
  <si>
    <t>Additional Requirement 1</t>
  </si>
  <si>
    <t>Additional Requirement 2</t>
  </si>
  <si>
    <t>SOV Lock</t>
  </si>
  <si>
    <t>SV1001</t>
  </si>
  <si>
    <t>Rotex</t>
  </si>
  <si>
    <t>51424-6-2G+I-24VDC-16</t>
  </si>
  <si>
    <t>¼" BSP</t>
  </si>
  <si>
    <t>Aluminium</t>
  </si>
  <si>
    <t>Aluminium, Brass &amp; SS 316</t>
  </si>
  <si>
    <t>NBR</t>
  </si>
  <si>
    <t>5/2, 3/2 Convertible</t>
  </si>
  <si>
    <t>Poppet</t>
  </si>
  <si>
    <t>Namur</t>
  </si>
  <si>
    <t>1 - 10 barg</t>
  </si>
  <si>
    <t>0˚C to 75˚C</t>
  </si>
  <si>
    <t>F</t>
  </si>
  <si>
    <t>8 Watt</t>
  </si>
  <si>
    <t>Screwed</t>
  </si>
  <si>
    <t>Weatherproof IP67</t>
  </si>
  <si>
    <t>24VDC</t>
  </si>
  <si>
    <t>Without Gland</t>
  </si>
  <si>
    <t>SV1005</t>
  </si>
  <si>
    <t>30318-5-2G+I-24VDC-16</t>
  </si>
  <si>
    <t>3/2 Way</t>
  </si>
  <si>
    <t>0 - 10 barg</t>
  </si>
  <si>
    <t>SV1002</t>
  </si>
  <si>
    <t>51424-6-2G+I-230V 50Hz-16</t>
  </si>
  <si>
    <t>230 VAC, 50Hz</t>
  </si>
  <si>
    <t>SV1006</t>
  </si>
  <si>
    <t>30318-5-2G+III-230V 50Hz-16</t>
  </si>
  <si>
    <t>FR1001</t>
  </si>
  <si>
    <t>Shavo</t>
  </si>
  <si>
    <t>SB10-2GM2T/RGK-NB</t>
  </si>
  <si>
    <t>Air Filter Regulator</t>
  </si>
  <si>
    <t>Polycarbonate Bowl</t>
  </si>
  <si>
    <t>Manual Drain</t>
  </si>
  <si>
    <t>25 micron porous plastic</t>
  </si>
  <si>
    <t>MS Pressure Guage w/o approval</t>
  </si>
  <si>
    <t>0.7 to 7 bar Pressure Range</t>
  </si>
  <si>
    <t>MR1002</t>
  </si>
  <si>
    <t>Q-Tork</t>
  </si>
  <si>
    <t>QTM-250</t>
  </si>
  <si>
    <t>SQ</t>
  </si>
  <si>
    <t>11X11</t>
  </si>
  <si>
    <t>14X14</t>
  </si>
  <si>
    <t>17X17</t>
  </si>
  <si>
    <t>19X19</t>
  </si>
  <si>
    <t>MODEL NO</t>
  </si>
  <si>
    <t>MAKE</t>
  </si>
  <si>
    <t>RIPPL MODEL NO</t>
  </si>
  <si>
    <t>Positioner Code</t>
  </si>
  <si>
    <t>Model No.</t>
  </si>
  <si>
    <t>Type</t>
  </si>
  <si>
    <t>Input Signal Range</t>
  </si>
  <si>
    <t>Communication Protocol</t>
  </si>
  <si>
    <t>Output Signal</t>
  </si>
  <si>
    <t>Pneumatic -Electric Connections</t>
  </si>
  <si>
    <t>Additional Feature 1</t>
  </si>
  <si>
    <t>Additional Feature 2</t>
  </si>
  <si>
    <t>PR1001</t>
  </si>
  <si>
    <t xml:space="preserve">RTX1000-R-D-2-R0-2G-4R-ST-FD-N </t>
  </si>
  <si>
    <t>Electro-Pneumatic Positioner</t>
  </si>
  <si>
    <t>4 to 20 mA</t>
  </si>
  <si>
    <t>Not Applicable</t>
  </si>
  <si>
    <t>¼" BSP - ½" NPT (Orifice 2mm)</t>
  </si>
  <si>
    <t>Weatherproof</t>
  </si>
  <si>
    <t>Flat Indicator</t>
  </si>
  <si>
    <t>EA1002</t>
  </si>
  <si>
    <t>QT 5</t>
  </si>
  <si>
    <t>Marsh</t>
  </si>
  <si>
    <t>Electric - Motorised</t>
  </si>
  <si>
    <r>
      <t>Quarter Turn 0-90</t>
    </r>
    <r>
      <rPr>
        <sz val="10"/>
        <color theme="1"/>
        <rFont val="Calibri"/>
        <family val="2"/>
      </rPr>
      <t>˚</t>
    </r>
  </si>
  <si>
    <t>1Ph - 230 VAC, 50Hz</t>
  </si>
  <si>
    <t>Aluminium Body Base</t>
  </si>
  <si>
    <t>17 sec</t>
  </si>
  <si>
    <t>125 W</t>
  </si>
  <si>
    <t>IP 65</t>
  </si>
  <si>
    <t>EA1003</t>
  </si>
  <si>
    <t>QT 10</t>
  </si>
  <si>
    <t>20 sec</t>
  </si>
  <si>
    <t>175 W</t>
  </si>
  <si>
    <t>BF1001</t>
  </si>
  <si>
    <t>1IWE6CL-050mm</t>
  </si>
  <si>
    <t>Butterfly Valve, Centric</t>
  </si>
  <si>
    <t>EN 593 (BS 5155)</t>
  </si>
  <si>
    <t>Sandwich, Wafer, Moulded Seat</t>
  </si>
  <si>
    <t>Cast Iron EN 1561 (BS 1452) Gr.200, Gr. 250</t>
  </si>
  <si>
    <t>Carbon Steel (EN8)</t>
  </si>
  <si>
    <t>EPDM</t>
  </si>
  <si>
    <t>Wafer Flangeless</t>
  </si>
  <si>
    <t>To suit BS 10 Table D &amp; E, ASME B 16.1 Class 125, B 16.5 Class 150,
EN 1092-2 PN 10, BS 4504 PN 10, IS 6392 Table 11</t>
  </si>
  <si>
    <t>PN 10</t>
  </si>
  <si>
    <t>0˚C</t>
  </si>
  <si>
    <t>120˚C</t>
  </si>
  <si>
    <t>EN 12266 Part 1&amp;2</t>
  </si>
  <si>
    <t>BF1002</t>
  </si>
  <si>
    <t>1IWE6CL-065mm</t>
  </si>
  <si>
    <t>BF1003</t>
  </si>
  <si>
    <t>1IWE6CL-080mm</t>
  </si>
  <si>
    <t>BF1004</t>
  </si>
  <si>
    <t>1IWE6CL-100mm</t>
  </si>
  <si>
    <t>BF1005</t>
  </si>
  <si>
    <t>1IWE6CL-125mm</t>
  </si>
  <si>
    <t>BF1006</t>
  </si>
  <si>
    <t>1IWE6CL-150mm</t>
  </si>
  <si>
    <t>BF1007</t>
  </si>
  <si>
    <t>1IWE6CL-200mm</t>
  </si>
  <si>
    <t>BF1008</t>
  </si>
  <si>
    <t>1IWE6CL-250mm</t>
  </si>
  <si>
    <t>BF1009</t>
  </si>
  <si>
    <t>1IWE6CL-300mm</t>
  </si>
  <si>
    <t>BF1010</t>
  </si>
  <si>
    <t>1IWE6CG-350mm</t>
  </si>
  <si>
    <t>BF1011</t>
  </si>
  <si>
    <t>1IWE6CG-400mm</t>
  </si>
  <si>
    <t>BF1012</t>
  </si>
  <si>
    <t>1IWE6CG-450mm</t>
  </si>
  <si>
    <t>BF1013</t>
  </si>
  <si>
    <t>1IWE6CG-500mm</t>
  </si>
  <si>
    <t>BF1014</t>
  </si>
  <si>
    <t>1IWE6CG-600mm</t>
  </si>
  <si>
    <t>BF1015</t>
  </si>
  <si>
    <t>1IWEICL-050mm</t>
  </si>
  <si>
    <t>Cast Iron EN 1561 (BS 1452) Gr.250</t>
  </si>
  <si>
    <t>BF1016</t>
  </si>
  <si>
    <t>1IWEICL-065mm</t>
  </si>
  <si>
    <t>BF1017</t>
  </si>
  <si>
    <t>1IWEICL-080mm</t>
  </si>
  <si>
    <t>BF1018</t>
  </si>
  <si>
    <t>1IWEICL-100mm</t>
  </si>
  <si>
    <t>BF1019</t>
  </si>
  <si>
    <t>1IWEICL-125mm</t>
  </si>
  <si>
    <t>BF1020</t>
  </si>
  <si>
    <t>1IWEICL-150mm</t>
  </si>
  <si>
    <t>BF1021</t>
  </si>
  <si>
    <t>1IWEICL-200mm</t>
  </si>
  <si>
    <t>BF1022</t>
  </si>
  <si>
    <t>1IWEICL-250mm</t>
  </si>
  <si>
    <t>BF1023</t>
  </si>
  <si>
    <t>1IWE1CL-300mm</t>
  </si>
  <si>
    <t>BF1024</t>
  </si>
  <si>
    <t>1IWE1CG-350mm</t>
  </si>
  <si>
    <t>BF1025</t>
  </si>
  <si>
    <t>1IWE1CG-400mm</t>
  </si>
  <si>
    <t>BF1026</t>
  </si>
  <si>
    <t>1IWE1CG-450mm</t>
  </si>
  <si>
    <t>BF1027</t>
  </si>
  <si>
    <t>1IWE1CG-500mm</t>
  </si>
  <si>
    <t>BF1028</t>
  </si>
  <si>
    <t>1IWE1CG-600mm</t>
  </si>
  <si>
    <t>BF1029</t>
  </si>
  <si>
    <t>1IWNICL-050mm</t>
  </si>
  <si>
    <t>Nitirle</t>
  </si>
  <si>
    <t>BF1030</t>
  </si>
  <si>
    <t>1IWNICL-065mm</t>
  </si>
  <si>
    <t>BF1031</t>
  </si>
  <si>
    <t>1IWNICL-080mm</t>
  </si>
  <si>
    <t>BF1032</t>
  </si>
  <si>
    <t>1IWNICL-100mm</t>
  </si>
  <si>
    <t>BF1033</t>
  </si>
  <si>
    <t>1IWNICL-125mm</t>
  </si>
  <si>
    <t>BF1034</t>
  </si>
  <si>
    <t>1IWNICL-150mm</t>
  </si>
  <si>
    <t>BF1035</t>
  </si>
  <si>
    <t>1IWNICL-200mm</t>
  </si>
  <si>
    <t>BF1036</t>
  </si>
  <si>
    <t>1IWNICL-250mm</t>
  </si>
  <si>
    <t>BF1037</t>
  </si>
  <si>
    <t>1IWN1CL-300mm</t>
  </si>
  <si>
    <t>BF1038</t>
  </si>
  <si>
    <t>1IWN1CG-350mm</t>
  </si>
  <si>
    <t>BF1039</t>
  </si>
  <si>
    <t>1IWN1CG-400mm</t>
  </si>
  <si>
    <t>BF1040</t>
  </si>
  <si>
    <t>1IWN1CG-450mm</t>
  </si>
  <si>
    <t>BF1041</t>
  </si>
  <si>
    <t>1IWN1CG-500mm</t>
  </si>
  <si>
    <t>BF1042</t>
  </si>
  <si>
    <t>1IWN1CG-600mm</t>
  </si>
  <si>
    <t>BF1043</t>
  </si>
  <si>
    <t>2IWNGSL-050MM</t>
  </si>
  <si>
    <t>Cast Iron IS 1561 EN GJL-250</t>
  </si>
  <si>
    <t>ASTM A479 Type 410</t>
  </si>
  <si>
    <t>SG Iron to EN 1563-400 / 18 with Nylon-coating</t>
  </si>
  <si>
    <t>PN 16</t>
  </si>
  <si>
    <t>BF1044</t>
  </si>
  <si>
    <t>2IWNGSL-065MM</t>
  </si>
  <si>
    <t>BF1045</t>
  </si>
  <si>
    <t>2IWNGSL-080MM</t>
  </si>
  <si>
    <t>BF1046</t>
  </si>
  <si>
    <t>2IWNGSL-100MM</t>
  </si>
  <si>
    <t>BF1047</t>
  </si>
  <si>
    <t>2IWNGSL-125MM</t>
  </si>
  <si>
    <t>BF1048</t>
  </si>
  <si>
    <t>2IWNGSL-150MM</t>
  </si>
  <si>
    <t>BF1049</t>
  </si>
  <si>
    <t>2IWNGSL-200MM</t>
  </si>
  <si>
    <t>BF1050</t>
  </si>
  <si>
    <t>2IWNGSL-250MM</t>
  </si>
  <si>
    <t>BF1051</t>
  </si>
  <si>
    <t>2IWNGSL-300MM</t>
  </si>
  <si>
    <t>Name</t>
  </si>
  <si>
    <t>Mail ID</t>
  </si>
  <si>
    <t>Deep Sarangdhar</t>
  </si>
  <si>
    <t>deep.sarangdhar@valmet.com</t>
  </si>
  <si>
    <t>Vinay Pawar</t>
  </si>
  <si>
    <t>vinay.pawar@rotexautomation</t>
  </si>
  <si>
    <t>ID</t>
  </si>
  <si>
    <t>Pallavi Mam</t>
  </si>
  <si>
    <t>honeytechmktg@honeytech.in</t>
  </si>
  <si>
    <t>Darshan Patil</t>
  </si>
  <si>
    <t>darshan.patil@rotexautomation</t>
  </si>
  <si>
    <t>marshautomation@gmail.com</t>
  </si>
  <si>
    <t>A.H. Mahrukhar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</si>
</sst>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\ &quot;mm&quot;"/>
    <numFmt numFmtId="166" formatCode="0.0\ &quot;m³/ hr&quot;"/>
    <numFmt numFmtId="167" formatCode="0.00\ &quot;bar(g)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165" fontId="2" fillId="0" borderId="0" xfId="0" applyNumberFormat="1" applyFont="1"/>
    <xf numFmtId="0" fontId="2" fillId="0" borderId="0" xfId="0" quotePrefix="1" applyFont="1"/>
    <xf numFmtId="3" fontId="2" fillId="2" borderId="0" xfId="1" applyNumberFormat="1" applyFont="1" applyFill="1" applyAlignment="1">
      <alignment horizontal="left"/>
    </xf>
    <xf numFmtId="3" fontId="2" fillId="2" borderId="0" xfId="2" applyNumberFormat="1" applyFont="1" applyFill="1"/>
    <xf numFmtId="1" fontId="2" fillId="0" borderId="0" xfId="0" applyNumberFormat="1" applyFont="1" applyAlignment="1">
      <alignment horizontal="center"/>
    </xf>
    <xf numFmtId="3" fontId="2" fillId="0" borderId="0" xfId="0" applyNumberFormat="1" applyFont="1"/>
    <xf numFmtId="49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49" fontId="3" fillId="3" borderId="0" xfId="0" applyNumberFormat="1" applyFont="1" applyFill="1"/>
    <xf numFmtId="0" fontId="4" fillId="0" borderId="0" xfId="0" applyFont="1"/>
    <xf numFmtId="1" fontId="4" fillId="0" borderId="0" xfId="0" applyNumberFormat="1" applyFont="1"/>
    <xf numFmtId="166" fontId="5" fillId="0" borderId="0" xfId="0" applyNumberFormat="1" applyFont="1"/>
    <xf numFmtId="167" fontId="3" fillId="0" borderId="0" xfId="0" applyNumberFormat="1" applyFont="1"/>
    <xf numFmtId="3" fontId="4" fillId="0" borderId="0" xfId="1" applyNumberFormat="1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4" fillId="0" borderId="0" xfId="2" applyFont="1" applyAlignment="1">
      <alignment horizontal="left"/>
    </xf>
    <xf numFmtId="3" fontId="4" fillId="0" borderId="0" xfId="2" applyNumberFormat="1" applyFont="1" applyAlignment="1">
      <alignment horizontal="center"/>
    </xf>
    <xf numFmtId="3" fontId="4" fillId="0" borderId="0" xfId="2" applyNumberFormat="1" applyFont="1" applyAlignment="1">
      <alignment horizontal="left"/>
    </xf>
    <xf numFmtId="0" fontId="2" fillId="0" borderId="0" xfId="2" applyFont="1"/>
    <xf numFmtId="3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2" applyFont="1"/>
    <xf numFmtId="0" fontId="4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3" fontId="2" fillId="2" borderId="0" xfId="0" applyNumberFormat="1" applyFont="1" applyFill="1"/>
    <xf numFmtId="16" fontId="2" fillId="0" borderId="0" xfId="0" quotePrefix="1" applyNumberFormat="1" applyFont="1"/>
    <xf numFmtId="0" fontId="2" fillId="4" borderId="0" xfId="0" applyFont="1" applyFill="1"/>
    <xf numFmtId="3" fontId="2" fillId="4" borderId="0" xfId="0" applyNumberFormat="1" applyFont="1" applyFill="1"/>
    <xf numFmtId="0" fontId="2" fillId="4" borderId="0" xfId="2" applyFont="1" applyFill="1"/>
    <xf numFmtId="0" fontId="7" fillId="0" borderId="0" xfId="3" applyFill="1"/>
    <xf numFmtId="0" fontId="7" fillId="0" borderId="0" xfId="3"/>
  </cellXfs>
  <cellStyles count="4">
    <cellStyle name="Comma" xfId="1" builtinId="3"/>
    <cellStyle name="Hyperlink" xfId="3" builtinId="8"/>
    <cellStyle name="Normal" xfId="0" builtinId="0"/>
    <cellStyle name="Normal 2" xfId="2" xr:uid="{00000000-0005-0000-0000-000003000000}"/>
  </cellStyles>
  <dxfs count="1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ffer%20Template%20(version%20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ve Side"/>
      <sheetName val="Datasheeta"/>
      <sheetName val="Datasheet"/>
      <sheetName val="Acc Side"/>
      <sheetName val="Build Code"/>
      <sheetName val="Dashboard"/>
      <sheetName val="MO Making"/>
      <sheetName val="Complete Back Up"/>
      <sheetName val="Actuator Calculations"/>
      <sheetName val="Branch"/>
      <sheetName val="Customer Data"/>
      <sheetName val="QTemplate"/>
      <sheetName val="QNumber to Word"/>
      <sheetName val="Final Data Sheet"/>
      <sheetName val="Valve Codes"/>
      <sheetName val="Valve"/>
      <sheetName val="Actuator"/>
      <sheetName val="Actuator Code"/>
      <sheetName val="Combo"/>
      <sheetName val="SOV"/>
      <sheetName val="Solenoid Valve Codes"/>
      <sheetName val="Limit Switch"/>
      <sheetName val="LSB"/>
      <sheetName val="MOR Codes"/>
      <sheetName val="Positioner"/>
      <sheetName val="Positioner Codes"/>
      <sheetName val="MOR"/>
      <sheetName val="Accessories"/>
      <sheetName val="Special"/>
      <sheetName val="MO Data"/>
      <sheetName val="CC-Temp"/>
      <sheetName val="D1"/>
    </sheetNames>
    <sheetDataSet>
      <sheetData sheetId="0"/>
      <sheetData sheetId="1"/>
      <sheetData sheetId="2"/>
      <sheetData sheetId="3"/>
      <sheetData sheetId="4">
        <row r="4">
          <cell r="C4" t="str">
            <v>ENTER COMPLETE CODE</v>
          </cell>
        </row>
        <row r="6">
          <cell r="D6" t="str">
            <v>EA3BK1</v>
          </cell>
        </row>
        <row r="9">
          <cell r="L9" t="str">
            <v>Double Acting</v>
          </cell>
        </row>
        <row r="14">
          <cell r="N14" t="str">
            <v>MR1003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V2">
            <v>4610</v>
          </cell>
        </row>
        <row r="3">
          <cell r="V3">
            <v>4610</v>
          </cell>
        </row>
        <row r="5">
          <cell r="V5">
            <v>6534</v>
          </cell>
        </row>
      </sheetData>
      <sheetData sheetId="21"/>
      <sheetData sheetId="22"/>
      <sheetData sheetId="23">
        <row r="1">
          <cell r="A1" t="str">
            <v>MOR Code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eep.sarangdhar@valme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deep.sarangdhar@valme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vinay.pawar@rotexautomati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honeytechmktg@honeytech.in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darshan.patil@rotexautomatio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marshautomat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0"/>
  <sheetViews>
    <sheetView workbookViewId="0">
      <selection activeCell="D34" sqref="D34"/>
    </sheetView>
  </sheetViews>
  <sheetFormatPr baseColWidth="10" defaultColWidth="8.83203125" defaultRowHeight="15" x14ac:dyDescent="0.2"/>
  <cols>
    <col min="2" max="2" width="14.6640625" bestFit="1" customWidth="1"/>
  </cols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15</v>
      </c>
      <c r="H1" s="1"/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  <c r="P1" s="1" t="s">
        <v>12</v>
      </c>
      <c r="Q1" s="1"/>
      <c r="R1" s="1" t="s">
        <v>13</v>
      </c>
      <c r="S1" s="1"/>
      <c r="T1" s="1"/>
      <c r="U1" s="1" t="s">
        <v>12</v>
      </c>
      <c r="V1" s="1"/>
      <c r="W1" s="1" t="s">
        <v>14</v>
      </c>
      <c r="X1" s="3" t="s">
        <v>15</v>
      </c>
      <c r="Y1" s="1" t="s">
        <v>16</v>
      </c>
      <c r="Z1" s="1"/>
      <c r="AA1" s="1"/>
      <c r="AB1" s="1" t="s">
        <v>17</v>
      </c>
      <c r="AC1" s="1"/>
      <c r="AD1" s="1">
        <v>198</v>
      </c>
      <c r="AE1" s="1" t="s">
        <v>18</v>
      </c>
      <c r="AF1" s="1">
        <v>7</v>
      </c>
      <c r="AG1" s="1" t="s">
        <v>19</v>
      </c>
      <c r="AH1" s="1"/>
      <c r="AI1" s="1" t="s">
        <v>20</v>
      </c>
      <c r="AJ1" s="4">
        <v>1033</v>
      </c>
      <c r="AK1" s="5">
        <v>2128</v>
      </c>
      <c r="AL1" s="5">
        <v>2128</v>
      </c>
      <c r="AM1" s="1"/>
      <c r="AN1" s="6">
        <v>15</v>
      </c>
      <c r="AO1" s="6">
        <v>6.5</v>
      </c>
      <c r="AP1" s="6">
        <v>5.2</v>
      </c>
      <c r="AQ1" s="6">
        <v>5.2</v>
      </c>
      <c r="AR1" s="6">
        <v>5.2</v>
      </c>
      <c r="AS1" s="6">
        <v>4.55</v>
      </c>
      <c r="AT1" s="1"/>
      <c r="AU1" s="1">
        <v>14</v>
      </c>
      <c r="AV1" s="1"/>
      <c r="AW1" s="7">
        <v>1047</v>
      </c>
    </row>
    <row r="2" spans="1:49" x14ac:dyDescent="0.2">
      <c r="A2" s="1" t="s">
        <v>21</v>
      </c>
      <c r="B2" s="1" t="s">
        <v>22</v>
      </c>
      <c r="C2" s="1" t="s">
        <v>2</v>
      </c>
      <c r="D2" s="1" t="s">
        <v>3</v>
      </c>
      <c r="E2" s="1" t="s">
        <v>4</v>
      </c>
      <c r="F2" s="1" t="s">
        <v>5</v>
      </c>
      <c r="G2" s="2">
        <v>20</v>
      </c>
      <c r="H2" s="1"/>
      <c r="I2" s="1" t="s">
        <v>23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/>
      <c r="P2" s="1" t="s">
        <v>12</v>
      </c>
      <c r="Q2" s="1"/>
      <c r="R2" s="1" t="s">
        <v>13</v>
      </c>
      <c r="S2" s="1"/>
      <c r="T2" s="1"/>
      <c r="U2" s="1" t="s">
        <v>12</v>
      </c>
      <c r="V2" s="1"/>
      <c r="W2" s="1" t="s">
        <v>14</v>
      </c>
      <c r="X2" s="3" t="s">
        <v>15</v>
      </c>
      <c r="Y2" s="1" t="s">
        <v>16</v>
      </c>
      <c r="Z2" s="1"/>
      <c r="AA2" s="1"/>
      <c r="AB2" s="1" t="s">
        <v>17</v>
      </c>
      <c r="AC2" s="1"/>
      <c r="AD2" s="1">
        <v>198</v>
      </c>
      <c r="AE2" s="1" t="s">
        <v>18</v>
      </c>
      <c r="AF2" s="1">
        <v>7</v>
      </c>
      <c r="AG2" s="1" t="s">
        <v>19</v>
      </c>
      <c r="AH2" s="1"/>
      <c r="AI2" s="1" t="s">
        <v>20</v>
      </c>
      <c r="AJ2" s="4">
        <v>1066</v>
      </c>
      <c r="AK2" s="5">
        <v>2288</v>
      </c>
      <c r="AL2" s="5">
        <v>2288</v>
      </c>
      <c r="AM2" s="1"/>
      <c r="AN2" s="6">
        <v>20</v>
      </c>
      <c r="AO2" s="6">
        <v>6.5</v>
      </c>
      <c r="AP2" s="6">
        <v>5.2</v>
      </c>
      <c r="AQ2" s="6">
        <v>5.2</v>
      </c>
      <c r="AR2" s="6">
        <v>5.2</v>
      </c>
      <c r="AS2" s="6">
        <v>4.55</v>
      </c>
      <c r="AT2" s="1"/>
      <c r="AU2" s="1">
        <v>14</v>
      </c>
      <c r="AV2" s="1"/>
      <c r="AW2" s="7">
        <v>1080</v>
      </c>
    </row>
    <row r="3" spans="1:49" x14ac:dyDescent="0.2">
      <c r="A3" s="1" t="s">
        <v>24</v>
      </c>
      <c r="B3" s="1" t="s">
        <v>25</v>
      </c>
      <c r="C3" s="1" t="s">
        <v>2</v>
      </c>
      <c r="D3" s="1" t="s">
        <v>3</v>
      </c>
      <c r="E3" s="1" t="s">
        <v>4</v>
      </c>
      <c r="F3" s="1" t="s">
        <v>5</v>
      </c>
      <c r="G3" s="2">
        <v>25</v>
      </c>
      <c r="H3" s="1"/>
      <c r="I3" s="1" t="s">
        <v>23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/>
      <c r="P3" s="1" t="s">
        <v>12</v>
      </c>
      <c r="Q3" s="1"/>
      <c r="R3" s="1" t="s">
        <v>13</v>
      </c>
      <c r="S3" s="1"/>
      <c r="T3" s="1"/>
      <c r="U3" s="1" t="s">
        <v>12</v>
      </c>
      <c r="V3" s="1"/>
      <c r="W3" s="1" t="s">
        <v>14</v>
      </c>
      <c r="X3" s="3" t="s">
        <v>15</v>
      </c>
      <c r="Y3" s="1" t="s">
        <v>16</v>
      </c>
      <c r="Z3" s="1"/>
      <c r="AA3" s="1"/>
      <c r="AB3" s="1" t="s">
        <v>17</v>
      </c>
      <c r="AC3" s="1"/>
      <c r="AD3" s="1">
        <v>198</v>
      </c>
      <c r="AE3" s="1" t="s">
        <v>18</v>
      </c>
      <c r="AF3" s="1">
        <v>7</v>
      </c>
      <c r="AG3" s="1" t="s">
        <v>19</v>
      </c>
      <c r="AH3" s="1"/>
      <c r="AI3" s="1" t="s">
        <v>20</v>
      </c>
      <c r="AJ3" s="4">
        <v>1610</v>
      </c>
      <c r="AK3" s="5">
        <v>3335</v>
      </c>
      <c r="AL3" s="5">
        <v>3335</v>
      </c>
      <c r="AM3" s="1"/>
      <c r="AN3" s="6">
        <v>25</v>
      </c>
      <c r="AO3" s="6">
        <v>9</v>
      </c>
      <c r="AP3" s="6">
        <v>7.2</v>
      </c>
      <c r="AQ3" s="6">
        <v>7.2</v>
      </c>
      <c r="AR3" s="6">
        <v>7.2</v>
      </c>
      <c r="AS3" s="6">
        <v>6.3</v>
      </c>
      <c r="AT3" s="1"/>
      <c r="AU3" s="1">
        <v>25</v>
      </c>
      <c r="AV3" s="1"/>
      <c r="AW3" s="7">
        <v>1635</v>
      </c>
    </row>
    <row r="4" spans="1:49" x14ac:dyDescent="0.2">
      <c r="A4" s="1" t="s">
        <v>26</v>
      </c>
      <c r="B4" s="1" t="s">
        <v>27</v>
      </c>
      <c r="C4" s="1" t="s">
        <v>2</v>
      </c>
      <c r="D4" s="1" t="s">
        <v>3</v>
      </c>
      <c r="E4" s="1" t="s">
        <v>4</v>
      </c>
      <c r="F4" s="1" t="s">
        <v>5</v>
      </c>
      <c r="G4" s="2">
        <v>40</v>
      </c>
      <c r="H4" s="1"/>
      <c r="I4" s="1" t="s">
        <v>23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/>
      <c r="P4" s="1" t="s">
        <v>12</v>
      </c>
      <c r="Q4" s="1"/>
      <c r="R4" s="1" t="s">
        <v>13</v>
      </c>
      <c r="S4" s="1"/>
      <c r="T4" s="1"/>
      <c r="U4" s="1" t="s">
        <v>12</v>
      </c>
      <c r="V4" s="1"/>
      <c r="W4" s="1" t="s">
        <v>14</v>
      </c>
      <c r="X4" s="3" t="s">
        <v>15</v>
      </c>
      <c r="Y4" s="1" t="s">
        <v>16</v>
      </c>
      <c r="Z4" s="1"/>
      <c r="AA4" s="1"/>
      <c r="AB4" s="1" t="s">
        <v>17</v>
      </c>
      <c r="AC4" s="1"/>
      <c r="AD4" s="1">
        <v>198</v>
      </c>
      <c r="AE4" s="1" t="s">
        <v>18</v>
      </c>
      <c r="AF4" s="1">
        <v>7</v>
      </c>
      <c r="AG4" s="1" t="s">
        <v>19</v>
      </c>
      <c r="AH4" s="1"/>
      <c r="AI4" s="1" t="s">
        <v>20</v>
      </c>
      <c r="AJ4" s="4">
        <v>3237</v>
      </c>
      <c r="AK4" s="5">
        <v>6674</v>
      </c>
      <c r="AL4" s="5">
        <v>6674</v>
      </c>
      <c r="AM4" s="1"/>
      <c r="AN4" s="6">
        <v>40</v>
      </c>
      <c r="AO4" s="6">
        <v>13</v>
      </c>
      <c r="AP4" s="6">
        <v>10.4</v>
      </c>
      <c r="AQ4" s="6">
        <v>10.4</v>
      </c>
      <c r="AR4" s="6">
        <v>10.4</v>
      </c>
      <c r="AS4" s="6">
        <v>9.1</v>
      </c>
      <c r="AT4" s="1"/>
      <c r="AU4" s="1">
        <v>52</v>
      </c>
      <c r="AV4" s="1"/>
      <c r="AW4" s="7">
        <v>3289</v>
      </c>
    </row>
    <row r="5" spans="1:49" x14ac:dyDescent="0.2">
      <c r="A5" s="1" t="s">
        <v>28</v>
      </c>
      <c r="B5" s="1" t="s">
        <v>29</v>
      </c>
      <c r="C5" s="1" t="s">
        <v>2</v>
      </c>
      <c r="D5" s="1" t="s">
        <v>3</v>
      </c>
      <c r="E5" s="1" t="s">
        <v>4</v>
      </c>
      <c r="F5" s="1" t="s">
        <v>5</v>
      </c>
      <c r="G5" s="2">
        <v>50</v>
      </c>
      <c r="H5" s="1"/>
      <c r="I5" s="1" t="s">
        <v>23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/>
      <c r="P5" s="1" t="s">
        <v>12</v>
      </c>
      <c r="Q5" s="1"/>
      <c r="R5" s="1" t="s">
        <v>13</v>
      </c>
      <c r="S5" s="1"/>
      <c r="T5" s="1"/>
      <c r="U5" s="1" t="s">
        <v>12</v>
      </c>
      <c r="V5" s="1"/>
      <c r="W5" s="1" t="s">
        <v>14</v>
      </c>
      <c r="X5" s="3" t="s">
        <v>15</v>
      </c>
      <c r="Y5" s="1" t="s">
        <v>16</v>
      </c>
      <c r="Z5" s="1"/>
      <c r="AA5" s="1"/>
      <c r="AB5" s="1" t="s">
        <v>17</v>
      </c>
      <c r="AC5" s="1"/>
      <c r="AD5" s="1">
        <v>198</v>
      </c>
      <c r="AE5" s="1" t="s">
        <v>18</v>
      </c>
      <c r="AF5" s="1">
        <v>7</v>
      </c>
      <c r="AG5" s="1" t="s">
        <v>19</v>
      </c>
      <c r="AH5" s="1"/>
      <c r="AI5" s="1" t="s">
        <v>20</v>
      </c>
      <c r="AJ5" s="4">
        <v>4053</v>
      </c>
      <c r="AK5" s="5">
        <v>8367</v>
      </c>
      <c r="AL5" s="5">
        <v>8367</v>
      </c>
      <c r="AM5" s="1"/>
      <c r="AN5" s="6">
        <v>50</v>
      </c>
      <c r="AO5" s="6">
        <v>34</v>
      </c>
      <c r="AP5" s="6">
        <v>27.200000000000003</v>
      </c>
      <c r="AQ5" s="6">
        <v>27.200000000000003</v>
      </c>
      <c r="AR5" s="6">
        <v>27.200000000000003</v>
      </c>
      <c r="AS5" s="6">
        <v>23.799999999999997</v>
      </c>
      <c r="AT5" s="1"/>
      <c r="AU5" s="1">
        <v>177</v>
      </c>
      <c r="AV5" s="1"/>
      <c r="AW5" s="7">
        <v>4230</v>
      </c>
    </row>
    <row r="6" spans="1:49" x14ac:dyDescent="0.2">
      <c r="A6" s="1" t="s">
        <v>30</v>
      </c>
      <c r="B6" s="1" t="s">
        <v>31</v>
      </c>
      <c r="C6" s="1" t="s">
        <v>2</v>
      </c>
      <c r="D6" s="1" t="s">
        <v>3</v>
      </c>
      <c r="E6" s="1" t="s">
        <v>4</v>
      </c>
      <c r="F6" s="1" t="s">
        <v>5</v>
      </c>
      <c r="G6" s="2">
        <v>8</v>
      </c>
      <c r="H6" s="1"/>
      <c r="I6" s="1" t="s">
        <v>6</v>
      </c>
      <c r="J6" s="1" t="s">
        <v>7</v>
      </c>
      <c r="K6" s="1" t="s">
        <v>32</v>
      </c>
      <c r="L6" s="1" t="s">
        <v>9</v>
      </c>
      <c r="M6" s="1" t="s">
        <v>10</v>
      </c>
      <c r="N6" s="1" t="s">
        <v>11</v>
      </c>
      <c r="O6" s="1"/>
      <c r="P6" s="1" t="s">
        <v>12</v>
      </c>
      <c r="Q6" s="1"/>
      <c r="R6" s="1" t="s">
        <v>13</v>
      </c>
      <c r="S6" s="1"/>
      <c r="T6" s="1"/>
      <c r="U6" s="1" t="s">
        <v>12</v>
      </c>
      <c r="V6" s="1"/>
      <c r="W6" s="1" t="s">
        <v>14</v>
      </c>
      <c r="X6" s="3" t="s">
        <v>15</v>
      </c>
      <c r="Y6" s="1" t="s">
        <v>16</v>
      </c>
      <c r="Z6" s="1"/>
      <c r="AA6" s="1"/>
      <c r="AB6" s="1" t="s">
        <v>17</v>
      </c>
      <c r="AC6" s="1"/>
      <c r="AD6" s="1">
        <v>198</v>
      </c>
      <c r="AE6" s="1" t="s">
        <v>18</v>
      </c>
      <c r="AF6" s="1">
        <v>7</v>
      </c>
      <c r="AG6" s="1" t="s">
        <v>19</v>
      </c>
      <c r="AH6" s="1"/>
      <c r="AI6" s="1" t="s">
        <v>20</v>
      </c>
      <c r="AJ6" s="4" t="s">
        <v>33</v>
      </c>
      <c r="AK6" s="5" t="s">
        <v>33</v>
      </c>
      <c r="AL6" s="5" t="s">
        <v>33</v>
      </c>
      <c r="AM6" s="1"/>
      <c r="AN6" s="6">
        <v>8</v>
      </c>
      <c r="AO6" s="6">
        <v>6.5</v>
      </c>
      <c r="AP6" s="6">
        <v>5.2</v>
      </c>
      <c r="AQ6" s="6">
        <v>5.2</v>
      </c>
      <c r="AR6" s="6">
        <v>5.2</v>
      </c>
      <c r="AS6" s="6">
        <v>4.55</v>
      </c>
      <c r="AT6" s="1"/>
      <c r="AU6" s="1" t="s">
        <v>33</v>
      </c>
      <c r="AV6" s="1"/>
      <c r="AW6" s="7" t="e">
        <v>#VALUE!</v>
      </c>
    </row>
    <row r="7" spans="1:49" x14ac:dyDescent="0.2">
      <c r="A7" s="1" t="s">
        <v>34</v>
      </c>
      <c r="B7" s="1" t="s">
        <v>35</v>
      </c>
      <c r="C7" s="1" t="s">
        <v>2</v>
      </c>
      <c r="D7" s="1" t="s">
        <v>3</v>
      </c>
      <c r="E7" s="1" t="s">
        <v>4</v>
      </c>
      <c r="F7" s="1" t="s">
        <v>5</v>
      </c>
      <c r="G7" s="2">
        <v>10</v>
      </c>
      <c r="H7" s="1"/>
      <c r="I7" s="1" t="s">
        <v>6</v>
      </c>
      <c r="J7" s="1" t="s">
        <v>7</v>
      </c>
      <c r="K7" s="1" t="s">
        <v>32</v>
      </c>
      <c r="L7" s="1" t="s">
        <v>9</v>
      </c>
      <c r="M7" s="1" t="s">
        <v>10</v>
      </c>
      <c r="N7" s="1" t="s">
        <v>11</v>
      </c>
      <c r="O7" s="1"/>
      <c r="P7" s="1" t="s">
        <v>12</v>
      </c>
      <c r="Q7" s="1"/>
      <c r="R7" s="1" t="s">
        <v>13</v>
      </c>
      <c r="S7" s="1"/>
      <c r="T7" s="1"/>
      <c r="U7" s="1" t="s">
        <v>12</v>
      </c>
      <c r="V7" s="1"/>
      <c r="W7" s="1" t="s">
        <v>14</v>
      </c>
      <c r="X7" s="3" t="s">
        <v>15</v>
      </c>
      <c r="Y7" s="1" t="s">
        <v>16</v>
      </c>
      <c r="Z7" s="1"/>
      <c r="AA7" s="1"/>
      <c r="AB7" s="1" t="s">
        <v>17</v>
      </c>
      <c r="AC7" s="1"/>
      <c r="AD7" s="1">
        <v>198</v>
      </c>
      <c r="AE7" s="1" t="s">
        <v>18</v>
      </c>
      <c r="AF7" s="1">
        <v>7</v>
      </c>
      <c r="AG7" s="1" t="s">
        <v>19</v>
      </c>
      <c r="AH7" s="1"/>
      <c r="AI7" s="1" t="s">
        <v>20</v>
      </c>
      <c r="AJ7" s="4" t="s">
        <v>33</v>
      </c>
      <c r="AK7" s="5" t="s">
        <v>33</v>
      </c>
      <c r="AL7" s="5" t="s">
        <v>33</v>
      </c>
      <c r="AM7" s="1"/>
      <c r="AN7" s="6">
        <v>10</v>
      </c>
      <c r="AO7" s="6">
        <v>6.5</v>
      </c>
      <c r="AP7" s="6">
        <v>5.2</v>
      </c>
      <c r="AQ7" s="6">
        <v>5.2</v>
      </c>
      <c r="AR7" s="6">
        <v>5.2</v>
      </c>
      <c r="AS7" s="6">
        <v>4.55</v>
      </c>
      <c r="AT7" s="1"/>
      <c r="AU7" s="1" t="s">
        <v>33</v>
      </c>
      <c r="AV7" s="1"/>
      <c r="AW7" s="7" t="e">
        <v>#VALUE!</v>
      </c>
    </row>
    <row r="8" spans="1:49" x14ac:dyDescent="0.2">
      <c r="A8" s="1" t="s">
        <v>36</v>
      </c>
      <c r="B8" s="1" t="s">
        <v>37</v>
      </c>
      <c r="C8" s="1" t="s">
        <v>2</v>
      </c>
      <c r="D8" s="1" t="s">
        <v>3</v>
      </c>
      <c r="E8" s="1" t="s">
        <v>4</v>
      </c>
      <c r="F8" s="1" t="s">
        <v>5</v>
      </c>
      <c r="G8" s="2">
        <v>15</v>
      </c>
      <c r="H8" s="1"/>
      <c r="I8" s="1" t="s">
        <v>6</v>
      </c>
      <c r="J8" s="1" t="s">
        <v>7</v>
      </c>
      <c r="K8" s="1" t="s">
        <v>32</v>
      </c>
      <c r="L8" s="1" t="s">
        <v>9</v>
      </c>
      <c r="M8" s="1" t="s">
        <v>10</v>
      </c>
      <c r="N8" s="1" t="s">
        <v>11</v>
      </c>
      <c r="O8" s="1"/>
      <c r="P8" s="1" t="s">
        <v>12</v>
      </c>
      <c r="Q8" s="1"/>
      <c r="R8" s="1" t="s">
        <v>13</v>
      </c>
      <c r="S8" s="1"/>
      <c r="T8" s="1"/>
      <c r="U8" s="1" t="s">
        <v>12</v>
      </c>
      <c r="V8" s="1"/>
      <c r="W8" s="1" t="s">
        <v>14</v>
      </c>
      <c r="X8" s="3" t="s">
        <v>15</v>
      </c>
      <c r="Y8" s="1" t="s">
        <v>16</v>
      </c>
      <c r="Z8" s="1"/>
      <c r="AA8" s="1"/>
      <c r="AB8" s="1" t="s">
        <v>17</v>
      </c>
      <c r="AC8" s="1"/>
      <c r="AD8" s="1">
        <v>198</v>
      </c>
      <c r="AE8" s="1" t="s">
        <v>18</v>
      </c>
      <c r="AF8" s="1">
        <v>7</v>
      </c>
      <c r="AG8" s="1" t="s">
        <v>19</v>
      </c>
      <c r="AH8" s="1"/>
      <c r="AI8" s="1" t="s">
        <v>20</v>
      </c>
      <c r="AJ8" s="4">
        <v>1601</v>
      </c>
      <c r="AK8" s="5">
        <v>3351</v>
      </c>
      <c r="AL8" s="5">
        <v>3351</v>
      </c>
      <c r="AM8" s="1"/>
      <c r="AN8" s="6">
        <v>15</v>
      </c>
      <c r="AO8" s="6">
        <v>6.5</v>
      </c>
      <c r="AP8" s="6">
        <v>5.2</v>
      </c>
      <c r="AQ8" s="6">
        <v>5.2</v>
      </c>
      <c r="AR8" s="6">
        <v>5.2</v>
      </c>
      <c r="AS8" s="6">
        <v>4.55</v>
      </c>
      <c r="AT8" s="1"/>
      <c r="AU8" s="1">
        <v>14</v>
      </c>
      <c r="AV8" s="1"/>
      <c r="AW8" s="7">
        <v>1615</v>
      </c>
    </row>
    <row r="9" spans="1:49" x14ac:dyDescent="0.2">
      <c r="A9" s="1" t="s">
        <v>38</v>
      </c>
      <c r="B9" s="1" t="s">
        <v>39</v>
      </c>
      <c r="C9" s="1" t="s">
        <v>2</v>
      </c>
      <c r="D9" s="1" t="s">
        <v>3</v>
      </c>
      <c r="E9" s="1" t="s">
        <v>4</v>
      </c>
      <c r="F9" s="1" t="s">
        <v>5</v>
      </c>
      <c r="G9" s="2">
        <v>20</v>
      </c>
      <c r="H9" s="1"/>
      <c r="I9" s="1" t="s">
        <v>23</v>
      </c>
      <c r="J9" s="1" t="s">
        <v>7</v>
      </c>
      <c r="K9" s="1" t="s">
        <v>32</v>
      </c>
      <c r="L9" s="1" t="s">
        <v>9</v>
      </c>
      <c r="M9" s="1" t="s">
        <v>10</v>
      </c>
      <c r="N9" s="1" t="s">
        <v>11</v>
      </c>
      <c r="O9" s="1"/>
      <c r="P9" s="1" t="s">
        <v>12</v>
      </c>
      <c r="Q9" s="1"/>
      <c r="R9" s="1" t="s">
        <v>13</v>
      </c>
      <c r="S9" s="1"/>
      <c r="T9" s="1"/>
      <c r="U9" s="1" t="s">
        <v>12</v>
      </c>
      <c r="V9" s="1"/>
      <c r="W9" s="1" t="s">
        <v>14</v>
      </c>
      <c r="X9" s="3" t="s">
        <v>15</v>
      </c>
      <c r="Y9" s="1" t="s">
        <v>16</v>
      </c>
      <c r="Z9" s="1"/>
      <c r="AA9" s="1"/>
      <c r="AB9" s="1" t="s">
        <v>17</v>
      </c>
      <c r="AC9" s="1"/>
      <c r="AD9" s="1">
        <v>198</v>
      </c>
      <c r="AE9" s="1" t="s">
        <v>18</v>
      </c>
      <c r="AF9" s="1">
        <v>7</v>
      </c>
      <c r="AG9" s="1" t="s">
        <v>19</v>
      </c>
      <c r="AH9" s="1"/>
      <c r="AI9" s="1" t="s">
        <v>20</v>
      </c>
      <c r="AJ9" s="4">
        <v>1673</v>
      </c>
      <c r="AK9" s="5">
        <v>3602</v>
      </c>
      <c r="AL9" s="5">
        <v>3602</v>
      </c>
      <c r="AM9" s="1"/>
      <c r="AN9" s="6">
        <v>20</v>
      </c>
      <c r="AO9" s="6">
        <v>6.5</v>
      </c>
      <c r="AP9" s="6">
        <v>5.2</v>
      </c>
      <c r="AQ9" s="6">
        <v>5.2</v>
      </c>
      <c r="AR9" s="6">
        <v>5.2</v>
      </c>
      <c r="AS9" s="6">
        <v>4.55</v>
      </c>
      <c r="AT9" s="1"/>
      <c r="AU9" s="1">
        <v>14</v>
      </c>
      <c r="AV9" s="1"/>
      <c r="AW9" s="7">
        <v>1687</v>
      </c>
    </row>
    <row r="10" spans="1:49" x14ac:dyDescent="0.2">
      <c r="A10" s="1" t="s">
        <v>40</v>
      </c>
      <c r="B10" s="1" t="s">
        <v>41</v>
      </c>
      <c r="C10" s="1" t="s">
        <v>2</v>
      </c>
      <c r="D10" s="1" t="s">
        <v>3</v>
      </c>
      <c r="E10" s="1" t="s">
        <v>4</v>
      </c>
      <c r="F10" s="1" t="s">
        <v>5</v>
      </c>
      <c r="G10" s="2">
        <v>25</v>
      </c>
      <c r="H10" s="1"/>
      <c r="I10" s="1" t="s">
        <v>23</v>
      </c>
      <c r="J10" s="1" t="s">
        <v>7</v>
      </c>
      <c r="K10" s="1" t="s">
        <v>32</v>
      </c>
      <c r="L10" s="1" t="s">
        <v>9</v>
      </c>
      <c r="M10" s="1" t="s">
        <v>10</v>
      </c>
      <c r="N10" s="1" t="s">
        <v>11</v>
      </c>
      <c r="O10" s="1"/>
      <c r="P10" s="1" t="s">
        <v>12</v>
      </c>
      <c r="Q10" s="1"/>
      <c r="R10" s="1" t="s">
        <v>13</v>
      </c>
      <c r="S10" s="1"/>
      <c r="T10" s="1"/>
      <c r="U10" s="1" t="s">
        <v>12</v>
      </c>
      <c r="V10" s="1"/>
      <c r="W10" s="1" t="s">
        <v>14</v>
      </c>
      <c r="X10" s="3" t="s">
        <v>15</v>
      </c>
      <c r="Y10" s="1" t="s">
        <v>16</v>
      </c>
      <c r="Z10" s="1"/>
      <c r="AA10" s="1"/>
      <c r="AB10" s="1" t="s">
        <v>17</v>
      </c>
      <c r="AC10" s="1"/>
      <c r="AD10" s="1">
        <v>198</v>
      </c>
      <c r="AE10" s="1" t="s">
        <v>18</v>
      </c>
      <c r="AF10" s="1">
        <v>7</v>
      </c>
      <c r="AG10" s="1" t="s">
        <v>19</v>
      </c>
      <c r="AH10" s="1"/>
      <c r="AI10" s="1" t="s">
        <v>20</v>
      </c>
      <c r="AJ10" s="4">
        <v>2513</v>
      </c>
      <c r="AK10" s="5">
        <v>5637</v>
      </c>
      <c r="AL10" s="5">
        <v>5637</v>
      </c>
      <c r="AM10" s="1"/>
      <c r="AN10" s="6">
        <v>25</v>
      </c>
      <c r="AO10" s="6">
        <v>9</v>
      </c>
      <c r="AP10" s="6">
        <v>7.2</v>
      </c>
      <c r="AQ10" s="6">
        <v>7.2</v>
      </c>
      <c r="AR10" s="6">
        <v>7.2</v>
      </c>
      <c r="AS10" s="6">
        <v>6.3</v>
      </c>
      <c r="AT10" s="1"/>
      <c r="AU10" s="1">
        <v>25</v>
      </c>
      <c r="AV10" s="1"/>
      <c r="AW10" s="7">
        <v>2538</v>
      </c>
    </row>
    <row r="11" spans="1:49" x14ac:dyDescent="0.2">
      <c r="A11" s="1" t="s">
        <v>42</v>
      </c>
      <c r="B11" s="1" t="s">
        <v>43</v>
      </c>
      <c r="C11" s="1" t="s">
        <v>2</v>
      </c>
      <c r="D11" s="1" t="s">
        <v>3</v>
      </c>
      <c r="E11" s="1" t="s">
        <v>4</v>
      </c>
      <c r="F11" s="1" t="s">
        <v>5</v>
      </c>
      <c r="G11" s="2">
        <v>40</v>
      </c>
      <c r="H11" s="1"/>
      <c r="I11" s="1" t="s">
        <v>23</v>
      </c>
      <c r="J11" s="1" t="s">
        <v>7</v>
      </c>
      <c r="K11" s="1" t="s">
        <v>32</v>
      </c>
      <c r="L11" s="1" t="s">
        <v>9</v>
      </c>
      <c r="M11" s="1" t="s">
        <v>10</v>
      </c>
      <c r="N11" s="1" t="s">
        <v>11</v>
      </c>
      <c r="O11" s="1"/>
      <c r="P11" s="1" t="s">
        <v>12</v>
      </c>
      <c r="Q11" s="1"/>
      <c r="R11" s="1" t="s">
        <v>13</v>
      </c>
      <c r="S11" s="1"/>
      <c r="T11" s="1"/>
      <c r="U11" s="1" t="s">
        <v>12</v>
      </c>
      <c r="V11" s="1"/>
      <c r="W11" s="1" t="s">
        <v>14</v>
      </c>
      <c r="X11" s="3" t="s">
        <v>15</v>
      </c>
      <c r="Y11" s="1" t="s">
        <v>16</v>
      </c>
      <c r="Z11" s="1"/>
      <c r="AA11" s="1"/>
      <c r="AB11" s="1" t="s">
        <v>17</v>
      </c>
      <c r="AC11" s="1"/>
      <c r="AD11" s="1">
        <v>198</v>
      </c>
      <c r="AE11" s="1" t="s">
        <v>18</v>
      </c>
      <c r="AF11" s="1">
        <v>7</v>
      </c>
      <c r="AG11" s="1" t="s">
        <v>19</v>
      </c>
      <c r="AH11" s="1"/>
      <c r="AI11" s="1" t="s">
        <v>20</v>
      </c>
      <c r="AJ11" s="4">
        <v>5269</v>
      </c>
      <c r="AK11" s="5">
        <v>11779</v>
      </c>
      <c r="AL11" s="5">
        <v>11779</v>
      </c>
      <c r="AM11" s="1"/>
      <c r="AN11" s="6">
        <v>40</v>
      </c>
      <c r="AO11" s="6">
        <v>13</v>
      </c>
      <c r="AP11" s="6">
        <v>10.4</v>
      </c>
      <c r="AQ11" s="6">
        <v>10.4</v>
      </c>
      <c r="AR11" s="6">
        <v>10.4</v>
      </c>
      <c r="AS11" s="6">
        <v>9.1</v>
      </c>
      <c r="AT11" s="1"/>
      <c r="AU11" s="1">
        <v>52</v>
      </c>
      <c r="AV11" s="1"/>
      <c r="AW11" s="7">
        <v>5321</v>
      </c>
    </row>
    <row r="12" spans="1:49" x14ac:dyDescent="0.2">
      <c r="A12" s="1" t="s">
        <v>44</v>
      </c>
      <c r="B12" s="1" t="s">
        <v>45</v>
      </c>
      <c r="C12" s="1" t="s">
        <v>2</v>
      </c>
      <c r="D12" s="1" t="s">
        <v>3</v>
      </c>
      <c r="E12" s="1" t="s">
        <v>4</v>
      </c>
      <c r="F12" s="1" t="s">
        <v>5</v>
      </c>
      <c r="G12" s="2">
        <v>50</v>
      </c>
      <c r="H12" s="1"/>
      <c r="I12" s="1" t="s">
        <v>23</v>
      </c>
      <c r="J12" s="1" t="s">
        <v>7</v>
      </c>
      <c r="K12" s="1" t="s">
        <v>32</v>
      </c>
      <c r="L12" s="1" t="s">
        <v>9</v>
      </c>
      <c r="M12" s="1" t="s">
        <v>10</v>
      </c>
      <c r="N12" s="1" t="s">
        <v>11</v>
      </c>
      <c r="O12" s="1"/>
      <c r="P12" s="1" t="s">
        <v>12</v>
      </c>
      <c r="Q12" s="1"/>
      <c r="R12" s="1" t="s">
        <v>13</v>
      </c>
      <c r="S12" s="1"/>
      <c r="T12" s="1"/>
      <c r="U12" s="1" t="s">
        <v>12</v>
      </c>
      <c r="V12" s="1"/>
      <c r="W12" s="1" t="s">
        <v>14</v>
      </c>
      <c r="X12" s="3" t="s">
        <v>15</v>
      </c>
      <c r="Y12" s="1" t="s">
        <v>16</v>
      </c>
      <c r="Z12" s="1"/>
      <c r="AA12" s="1"/>
      <c r="AB12" s="1" t="s">
        <v>17</v>
      </c>
      <c r="AC12" s="1"/>
      <c r="AD12" s="1">
        <v>198</v>
      </c>
      <c r="AE12" s="1" t="s">
        <v>18</v>
      </c>
      <c r="AF12" s="1">
        <v>7</v>
      </c>
      <c r="AG12" s="1" t="s">
        <v>19</v>
      </c>
      <c r="AH12" s="1"/>
      <c r="AI12" s="1" t="s">
        <v>20</v>
      </c>
      <c r="AJ12" s="4">
        <v>6232</v>
      </c>
      <c r="AK12" s="5">
        <v>13576</v>
      </c>
      <c r="AL12" s="5">
        <v>13576</v>
      </c>
      <c r="AM12" s="1"/>
      <c r="AN12" s="6">
        <v>50</v>
      </c>
      <c r="AO12" s="6">
        <v>34</v>
      </c>
      <c r="AP12" s="6">
        <v>27.200000000000003</v>
      </c>
      <c r="AQ12" s="6">
        <v>27.200000000000003</v>
      </c>
      <c r="AR12" s="6">
        <v>27.200000000000003</v>
      </c>
      <c r="AS12" s="6">
        <v>23.799999999999997</v>
      </c>
      <c r="AT12" s="1"/>
      <c r="AU12" s="1">
        <v>177</v>
      </c>
      <c r="AV12" s="1"/>
      <c r="AW12" s="7">
        <v>6409</v>
      </c>
    </row>
    <row r="13" spans="1:49" x14ac:dyDescent="0.2">
      <c r="A13" s="1" t="s">
        <v>46</v>
      </c>
      <c r="B13" s="1" t="s">
        <v>47</v>
      </c>
      <c r="C13" s="1" t="s">
        <v>2</v>
      </c>
      <c r="D13" s="1" t="s">
        <v>3</v>
      </c>
      <c r="E13" s="1" t="s">
        <v>4</v>
      </c>
      <c r="F13" s="1" t="s">
        <v>5</v>
      </c>
      <c r="G13" s="2">
        <v>20</v>
      </c>
      <c r="H13" s="1"/>
      <c r="I13" s="1" t="s">
        <v>6</v>
      </c>
      <c r="J13" s="1" t="s">
        <v>7</v>
      </c>
      <c r="K13" s="1" t="s">
        <v>8</v>
      </c>
      <c r="L13" s="1" t="s">
        <v>9</v>
      </c>
      <c r="M13" s="1" t="s">
        <v>10</v>
      </c>
      <c r="N13" s="1" t="s">
        <v>11</v>
      </c>
      <c r="O13" s="1"/>
      <c r="P13" s="1" t="s">
        <v>12</v>
      </c>
      <c r="Q13" s="1"/>
      <c r="R13" s="1" t="s">
        <v>13</v>
      </c>
      <c r="S13" s="1"/>
      <c r="T13" s="1"/>
      <c r="U13" s="1" t="s">
        <v>12</v>
      </c>
      <c r="V13" s="1"/>
      <c r="W13" s="1" t="s">
        <v>14</v>
      </c>
      <c r="X13" s="3" t="s">
        <v>15</v>
      </c>
      <c r="Y13" s="1" t="s">
        <v>16</v>
      </c>
      <c r="Z13" s="1"/>
      <c r="AA13" s="1"/>
      <c r="AB13" s="1" t="s">
        <v>17</v>
      </c>
      <c r="AC13" s="1"/>
      <c r="AD13" s="1">
        <v>198</v>
      </c>
      <c r="AE13" s="1" t="s">
        <v>18</v>
      </c>
      <c r="AF13" s="1">
        <v>7</v>
      </c>
      <c r="AG13" s="1" t="s">
        <v>19</v>
      </c>
      <c r="AH13" s="1"/>
      <c r="AI13" s="1" t="s">
        <v>20</v>
      </c>
      <c r="AJ13" s="4">
        <v>1527</v>
      </c>
      <c r="AK13" s="5">
        <v>3195</v>
      </c>
      <c r="AL13" s="5">
        <v>3195</v>
      </c>
      <c r="AM13" s="1"/>
      <c r="AN13" s="6">
        <v>20</v>
      </c>
      <c r="AO13" s="6">
        <v>9</v>
      </c>
      <c r="AP13" s="6">
        <v>7.2</v>
      </c>
      <c r="AQ13" s="6">
        <v>7.2</v>
      </c>
      <c r="AR13" s="6">
        <v>7.2</v>
      </c>
      <c r="AS13" s="6">
        <v>6.3</v>
      </c>
      <c r="AT13" s="1"/>
      <c r="AU13" s="1">
        <v>25</v>
      </c>
      <c r="AV13" s="1"/>
      <c r="AW13" s="7">
        <v>1552</v>
      </c>
    </row>
    <row r="14" spans="1:49" x14ac:dyDescent="0.2">
      <c r="A14" s="1" t="s">
        <v>48</v>
      </c>
      <c r="B14" s="1" t="s">
        <v>49</v>
      </c>
      <c r="C14" s="1" t="s">
        <v>2</v>
      </c>
      <c r="D14" s="1" t="s">
        <v>3</v>
      </c>
      <c r="E14" s="1" t="s">
        <v>4</v>
      </c>
      <c r="F14" s="1" t="s">
        <v>5</v>
      </c>
      <c r="G14" s="2">
        <v>25</v>
      </c>
      <c r="H14" s="1"/>
      <c r="I14" s="1" t="s">
        <v>6</v>
      </c>
      <c r="J14" s="1" t="s">
        <v>7</v>
      </c>
      <c r="K14" s="1" t="s">
        <v>8</v>
      </c>
      <c r="L14" s="1" t="s">
        <v>9</v>
      </c>
      <c r="M14" s="1" t="s">
        <v>10</v>
      </c>
      <c r="N14" s="1" t="s">
        <v>11</v>
      </c>
      <c r="O14" s="1"/>
      <c r="P14" s="1" t="s">
        <v>12</v>
      </c>
      <c r="Q14" s="1"/>
      <c r="R14" s="1" t="s">
        <v>13</v>
      </c>
      <c r="S14" s="1"/>
      <c r="T14" s="1"/>
      <c r="U14" s="1" t="s">
        <v>12</v>
      </c>
      <c r="V14" s="1"/>
      <c r="W14" s="1" t="s">
        <v>14</v>
      </c>
      <c r="X14" s="3" t="s">
        <v>15</v>
      </c>
      <c r="Y14" s="1" t="s">
        <v>16</v>
      </c>
      <c r="Z14" s="1"/>
      <c r="AA14" s="1"/>
      <c r="AB14" s="1" t="s">
        <v>17</v>
      </c>
      <c r="AC14" s="1"/>
      <c r="AD14" s="1">
        <v>198</v>
      </c>
      <c r="AE14" s="1" t="s">
        <v>18</v>
      </c>
      <c r="AF14" s="1">
        <v>7</v>
      </c>
      <c r="AG14" s="1" t="s">
        <v>19</v>
      </c>
      <c r="AH14" s="1"/>
      <c r="AI14" s="1" t="s">
        <v>20</v>
      </c>
      <c r="AJ14" s="4">
        <v>1686</v>
      </c>
      <c r="AK14" s="5">
        <v>5076</v>
      </c>
      <c r="AL14" s="5">
        <v>5076</v>
      </c>
      <c r="AM14" s="1"/>
      <c r="AN14" s="6">
        <v>25</v>
      </c>
      <c r="AO14" s="6">
        <v>11</v>
      </c>
      <c r="AP14" s="6">
        <v>8.8000000000000007</v>
      </c>
      <c r="AQ14" s="6">
        <v>8.8000000000000007</v>
      </c>
      <c r="AR14" s="6">
        <v>8.8000000000000007</v>
      </c>
      <c r="AS14" s="6">
        <v>7.6999999999999993</v>
      </c>
      <c r="AT14" s="1"/>
      <c r="AU14" s="1">
        <v>52</v>
      </c>
      <c r="AV14" s="1"/>
      <c r="AW14" s="7">
        <v>1738</v>
      </c>
    </row>
    <row r="15" spans="1:49" x14ac:dyDescent="0.2">
      <c r="A15" s="1" t="s">
        <v>50</v>
      </c>
      <c r="B15" s="1" t="s">
        <v>51</v>
      </c>
      <c r="C15" s="1" t="s">
        <v>2</v>
      </c>
      <c r="D15" s="1" t="s">
        <v>3</v>
      </c>
      <c r="E15" s="1" t="s">
        <v>4</v>
      </c>
      <c r="F15" s="1" t="s">
        <v>5</v>
      </c>
      <c r="G15" s="2">
        <v>32</v>
      </c>
      <c r="H15" s="1"/>
      <c r="I15" s="1" t="s">
        <v>6</v>
      </c>
      <c r="J15" s="1" t="s">
        <v>7</v>
      </c>
      <c r="K15" s="1" t="s">
        <v>52</v>
      </c>
      <c r="L15" s="1" t="s">
        <v>9</v>
      </c>
      <c r="M15" s="1" t="s">
        <v>10</v>
      </c>
      <c r="N15" s="1" t="s">
        <v>11</v>
      </c>
      <c r="O15" s="1"/>
      <c r="P15" s="1" t="s">
        <v>12</v>
      </c>
      <c r="Q15" s="1"/>
      <c r="R15" s="1" t="s">
        <v>13</v>
      </c>
      <c r="S15" s="1"/>
      <c r="T15" s="1"/>
      <c r="U15" s="1" t="s">
        <v>12</v>
      </c>
      <c r="V15" s="1"/>
      <c r="W15" s="1" t="s">
        <v>14</v>
      </c>
      <c r="X15" s="3" t="s">
        <v>15</v>
      </c>
      <c r="Y15" s="1" t="s">
        <v>16</v>
      </c>
      <c r="Z15" s="1"/>
      <c r="AA15" s="1"/>
      <c r="AB15" s="1" t="s">
        <v>17</v>
      </c>
      <c r="AC15" s="1"/>
      <c r="AD15" s="1">
        <v>198</v>
      </c>
      <c r="AE15" s="1" t="s">
        <v>18</v>
      </c>
      <c r="AF15" s="1">
        <v>7</v>
      </c>
      <c r="AG15" s="1" t="s">
        <v>19</v>
      </c>
      <c r="AH15" s="1"/>
      <c r="AI15" s="1" t="s">
        <v>20</v>
      </c>
      <c r="AJ15" s="4">
        <v>3676</v>
      </c>
      <c r="AK15" s="5">
        <v>7681</v>
      </c>
      <c r="AL15" s="5">
        <v>7681</v>
      </c>
      <c r="AM15" s="1"/>
      <c r="AN15" s="6">
        <v>32</v>
      </c>
      <c r="AO15" s="6">
        <v>30</v>
      </c>
      <c r="AP15" s="6">
        <v>24</v>
      </c>
      <c r="AQ15" s="6">
        <v>24</v>
      </c>
      <c r="AR15" s="6">
        <v>24</v>
      </c>
      <c r="AS15" s="6">
        <v>21</v>
      </c>
      <c r="AT15" s="1"/>
      <c r="AU15" s="1" t="s">
        <v>33</v>
      </c>
      <c r="AV15" s="1"/>
      <c r="AW15" s="7" t="e">
        <v>#VALUE!</v>
      </c>
    </row>
    <row r="16" spans="1:49" x14ac:dyDescent="0.2">
      <c r="A16" s="1" t="s">
        <v>53</v>
      </c>
      <c r="B16" s="1" t="s">
        <v>54</v>
      </c>
      <c r="C16" s="1" t="s">
        <v>2</v>
      </c>
      <c r="D16" s="1" t="s">
        <v>3</v>
      </c>
      <c r="E16" s="1" t="s">
        <v>4</v>
      </c>
      <c r="F16" s="1" t="s">
        <v>5</v>
      </c>
      <c r="G16" s="2">
        <v>40</v>
      </c>
      <c r="H16" s="1"/>
      <c r="I16" s="1" t="s">
        <v>6</v>
      </c>
      <c r="J16" s="1" t="s">
        <v>7</v>
      </c>
      <c r="K16" s="1" t="s">
        <v>8</v>
      </c>
      <c r="L16" s="1" t="s">
        <v>9</v>
      </c>
      <c r="M16" s="1" t="s">
        <v>10</v>
      </c>
      <c r="N16" s="1" t="s">
        <v>11</v>
      </c>
      <c r="O16" s="1"/>
      <c r="P16" s="1" t="s">
        <v>12</v>
      </c>
      <c r="Q16" s="1"/>
      <c r="R16" s="1" t="s">
        <v>13</v>
      </c>
      <c r="S16" s="1"/>
      <c r="T16" s="1"/>
      <c r="U16" s="1" t="s">
        <v>12</v>
      </c>
      <c r="V16" s="1"/>
      <c r="W16" s="1" t="s">
        <v>14</v>
      </c>
      <c r="X16" s="3" t="s">
        <v>15</v>
      </c>
      <c r="Y16" s="1" t="s">
        <v>16</v>
      </c>
      <c r="Z16" s="1"/>
      <c r="AA16" s="1"/>
      <c r="AB16" s="1" t="s">
        <v>17</v>
      </c>
      <c r="AC16" s="1"/>
      <c r="AD16" s="1">
        <v>198</v>
      </c>
      <c r="AE16" s="1" t="s">
        <v>18</v>
      </c>
      <c r="AF16" s="1">
        <v>7</v>
      </c>
      <c r="AG16" s="1" t="s">
        <v>19</v>
      </c>
      <c r="AH16" s="1"/>
      <c r="AI16" s="1" t="s">
        <v>20</v>
      </c>
      <c r="AJ16" s="4">
        <v>3853</v>
      </c>
      <c r="AK16" s="5">
        <v>8021</v>
      </c>
      <c r="AL16" s="5">
        <v>8021</v>
      </c>
      <c r="AM16" s="1"/>
      <c r="AN16" s="6">
        <v>40</v>
      </c>
      <c r="AO16" s="6">
        <v>34</v>
      </c>
      <c r="AP16" s="6">
        <v>27.200000000000003</v>
      </c>
      <c r="AQ16" s="6">
        <v>27.200000000000003</v>
      </c>
      <c r="AR16" s="6">
        <v>27.200000000000003</v>
      </c>
      <c r="AS16" s="6">
        <v>23.799999999999997</v>
      </c>
      <c r="AT16" s="1"/>
      <c r="AU16" s="1">
        <v>177</v>
      </c>
      <c r="AV16" s="1"/>
      <c r="AW16" s="7">
        <v>4030</v>
      </c>
    </row>
    <row r="17" spans="1:49" x14ac:dyDescent="0.2">
      <c r="A17" s="1" t="s">
        <v>55</v>
      </c>
      <c r="B17" s="1" t="s">
        <v>56</v>
      </c>
      <c r="C17" s="1" t="s">
        <v>2</v>
      </c>
      <c r="D17" s="1" t="s">
        <v>3</v>
      </c>
      <c r="E17" s="1" t="s">
        <v>4</v>
      </c>
      <c r="F17" s="1" t="s">
        <v>5</v>
      </c>
      <c r="G17" s="2">
        <v>50</v>
      </c>
      <c r="H17" s="1"/>
      <c r="I17" s="1" t="s">
        <v>6</v>
      </c>
      <c r="J17" s="1" t="s">
        <v>7</v>
      </c>
      <c r="K17" s="1" t="s">
        <v>8</v>
      </c>
      <c r="L17" s="1" t="s">
        <v>9</v>
      </c>
      <c r="M17" s="1" t="s">
        <v>10</v>
      </c>
      <c r="N17" s="1" t="s">
        <v>11</v>
      </c>
      <c r="O17" s="1"/>
      <c r="P17" s="1" t="s">
        <v>12</v>
      </c>
      <c r="Q17" s="1"/>
      <c r="R17" s="1" t="s">
        <v>13</v>
      </c>
      <c r="S17" s="1"/>
      <c r="T17" s="1"/>
      <c r="U17" s="1" t="s">
        <v>12</v>
      </c>
      <c r="V17" s="1"/>
      <c r="W17" s="1" t="s">
        <v>14</v>
      </c>
      <c r="X17" s="3" t="s">
        <v>15</v>
      </c>
      <c r="Y17" s="1" t="s">
        <v>16</v>
      </c>
      <c r="Z17" s="1"/>
      <c r="AA17" s="1"/>
      <c r="AB17" s="1" t="s">
        <v>17</v>
      </c>
      <c r="AC17" s="1"/>
      <c r="AD17" s="1">
        <v>198</v>
      </c>
      <c r="AE17" s="1" t="s">
        <v>18</v>
      </c>
      <c r="AF17" s="1">
        <v>7</v>
      </c>
      <c r="AG17" s="1" t="s">
        <v>19</v>
      </c>
      <c r="AH17" s="1"/>
      <c r="AI17" s="1" t="s">
        <v>20</v>
      </c>
      <c r="AJ17" s="4">
        <v>5683</v>
      </c>
      <c r="AK17" s="5">
        <v>12108</v>
      </c>
      <c r="AL17" s="5">
        <v>12108</v>
      </c>
      <c r="AM17" s="1"/>
      <c r="AN17" s="6">
        <v>50</v>
      </c>
      <c r="AO17" s="6">
        <v>44</v>
      </c>
      <c r="AP17" s="6">
        <v>35.200000000000003</v>
      </c>
      <c r="AQ17" s="6">
        <v>35.200000000000003</v>
      </c>
      <c r="AR17" s="6">
        <v>35.200000000000003</v>
      </c>
      <c r="AS17" s="6">
        <v>30.799999999999997</v>
      </c>
      <c r="AT17" s="1"/>
      <c r="AU17" s="1">
        <v>180</v>
      </c>
      <c r="AV17" s="1"/>
      <c r="AW17" s="7">
        <v>5863</v>
      </c>
    </row>
    <row r="18" spans="1:49" x14ac:dyDescent="0.2">
      <c r="A18" s="1" t="s">
        <v>57</v>
      </c>
      <c r="B18" s="1" t="s">
        <v>58</v>
      </c>
      <c r="C18" s="1" t="s">
        <v>2</v>
      </c>
      <c r="D18" s="1" t="s">
        <v>3</v>
      </c>
      <c r="E18" s="1" t="s">
        <v>4</v>
      </c>
      <c r="F18" s="1" t="s">
        <v>5</v>
      </c>
      <c r="G18" s="2">
        <v>20</v>
      </c>
      <c r="H18" s="1"/>
      <c r="I18" s="1" t="s">
        <v>6</v>
      </c>
      <c r="J18" s="1" t="s">
        <v>7</v>
      </c>
      <c r="K18" s="1" t="s">
        <v>32</v>
      </c>
      <c r="L18" s="1" t="s">
        <v>9</v>
      </c>
      <c r="M18" s="1" t="s">
        <v>10</v>
      </c>
      <c r="N18" s="1" t="s">
        <v>11</v>
      </c>
      <c r="O18" s="1"/>
      <c r="P18" s="1" t="s">
        <v>12</v>
      </c>
      <c r="Q18" s="1"/>
      <c r="R18" s="1" t="s">
        <v>13</v>
      </c>
      <c r="S18" s="1"/>
      <c r="T18" s="1"/>
      <c r="U18" s="1" t="s">
        <v>12</v>
      </c>
      <c r="V18" s="1"/>
      <c r="W18" s="1" t="s">
        <v>14</v>
      </c>
      <c r="X18" s="3" t="s">
        <v>15</v>
      </c>
      <c r="Y18" s="1" t="s">
        <v>16</v>
      </c>
      <c r="Z18" s="1"/>
      <c r="AA18" s="1"/>
      <c r="AB18" s="1" t="s">
        <v>17</v>
      </c>
      <c r="AC18" s="1"/>
      <c r="AD18" s="1">
        <v>198</v>
      </c>
      <c r="AE18" s="1" t="s">
        <v>18</v>
      </c>
      <c r="AF18" s="1">
        <v>7</v>
      </c>
      <c r="AG18" s="1" t="s">
        <v>19</v>
      </c>
      <c r="AH18" s="1"/>
      <c r="AI18" s="1" t="s">
        <v>20</v>
      </c>
      <c r="AJ18" s="4">
        <v>2421</v>
      </c>
      <c r="AK18" s="5">
        <v>5355</v>
      </c>
      <c r="AL18" s="5">
        <v>5355</v>
      </c>
      <c r="AM18" s="1"/>
      <c r="AN18" s="6">
        <v>20</v>
      </c>
      <c r="AO18" s="6">
        <v>9</v>
      </c>
      <c r="AP18" s="6">
        <v>7.2</v>
      </c>
      <c r="AQ18" s="6">
        <v>7.2</v>
      </c>
      <c r="AR18" s="6">
        <v>7.2</v>
      </c>
      <c r="AS18" s="6">
        <v>6.3</v>
      </c>
      <c r="AT18" s="1"/>
      <c r="AU18" s="1">
        <v>25</v>
      </c>
      <c r="AV18" s="1"/>
      <c r="AW18" s="7">
        <v>2446</v>
      </c>
    </row>
    <row r="19" spans="1:49" x14ac:dyDescent="0.2">
      <c r="A19" s="1" t="s">
        <v>59</v>
      </c>
      <c r="B19" s="1" t="s">
        <v>60</v>
      </c>
      <c r="C19" s="1" t="s">
        <v>2</v>
      </c>
      <c r="D19" s="1" t="s">
        <v>3</v>
      </c>
      <c r="E19" s="1" t="s">
        <v>4</v>
      </c>
      <c r="F19" s="1" t="s">
        <v>5</v>
      </c>
      <c r="G19" s="2">
        <v>25</v>
      </c>
      <c r="H19" s="1"/>
      <c r="I19" s="1" t="s">
        <v>6</v>
      </c>
      <c r="J19" s="1" t="s">
        <v>7</v>
      </c>
      <c r="K19" s="1" t="s">
        <v>32</v>
      </c>
      <c r="L19" s="1" t="s">
        <v>9</v>
      </c>
      <c r="M19" s="1" t="s">
        <v>10</v>
      </c>
      <c r="N19" s="1" t="s">
        <v>11</v>
      </c>
      <c r="O19" s="1"/>
      <c r="P19" s="1" t="s">
        <v>12</v>
      </c>
      <c r="Q19" s="1"/>
      <c r="R19" s="1" t="s">
        <v>13</v>
      </c>
      <c r="S19" s="1"/>
      <c r="T19" s="1"/>
      <c r="U19" s="1" t="s">
        <v>12</v>
      </c>
      <c r="V19" s="1"/>
      <c r="W19" s="1" t="s">
        <v>14</v>
      </c>
      <c r="X19" s="3" t="s">
        <v>15</v>
      </c>
      <c r="Y19" s="1" t="s">
        <v>16</v>
      </c>
      <c r="Z19" s="1"/>
      <c r="AA19" s="1"/>
      <c r="AB19" s="1" t="s">
        <v>17</v>
      </c>
      <c r="AC19" s="1"/>
      <c r="AD19" s="1">
        <v>198</v>
      </c>
      <c r="AE19" s="1" t="s">
        <v>18</v>
      </c>
      <c r="AF19" s="1">
        <v>7</v>
      </c>
      <c r="AG19" s="1" t="s">
        <v>19</v>
      </c>
      <c r="AH19" s="1"/>
      <c r="AI19" s="1" t="s">
        <v>20</v>
      </c>
      <c r="AJ19" s="4">
        <v>2549</v>
      </c>
      <c r="AK19" s="5">
        <v>9107</v>
      </c>
      <c r="AL19" s="5">
        <v>9107</v>
      </c>
      <c r="AM19" s="1"/>
      <c r="AN19" s="6">
        <v>25</v>
      </c>
      <c r="AO19" s="6">
        <v>11</v>
      </c>
      <c r="AP19" s="6">
        <v>8.8000000000000007</v>
      </c>
      <c r="AQ19" s="6">
        <v>8.8000000000000007</v>
      </c>
      <c r="AR19" s="6">
        <v>8.8000000000000007</v>
      </c>
      <c r="AS19" s="6">
        <v>7.6999999999999993</v>
      </c>
      <c r="AT19" s="1"/>
      <c r="AU19" s="1">
        <v>52</v>
      </c>
      <c r="AV19" s="1"/>
      <c r="AW19" s="7">
        <v>2601</v>
      </c>
    </row>
    <row r="20" spans="1:49" x14ac:dyDescent="0.2">
      <c r="A20" s="1" t="s">
        <v>61</v>
      </c>
      <c r="B20" s="1" t="s">
        <v>62</v>
      </c>
      <c r="C20" s="1" t="s">
        <v>2</v>
      </c>
      <c r="D20" s="1" t="s">
        <v>3</v>
      </c>
      <c r="E20" s="1" t="s">
        <v>4</v>
      </c>
      <c r="F20" s="1" t="s">
        <v>5</v>
      </c>
      <c r="G20" s="2">
        <v>32</v>
      </c>
      <c r="H20" s="1"/>
      <c r="I20" s="1" t="s">
        <v>6</v>
      </c>
      <c r="J20" s="1" t="s">
        <v>7</v>
      </c>
      <c r="K20" s="1" t="s">
        <v>32</v>
      </c>
      <c r="L20" s="1" t="s">
        <v>9</v>
      </c>
      <c r="M20" s="1" t="s">
        <v>10</v>
      </c>
      <c r="N20" s="1" t="s">
        <v>11</v>
      </c>
      <c r="O20" s="1"/>
      <c r="P20" s="1" t="s">
        <v>12</v>
      </c>
      <c r="Q20" s="1"/>
      <c r="R20" s="1" t="s">
        <v>13</v>
      </c>
      <c r="S20" s="1"/>
      <c r="T20" s="1"/>
      <c r="U20" s="1" t="s">
        <v>12</v>
      </c>
      <c r="V20" s="1"/>
      <c r="W20" s="1" t="s">
        <v>14</v>
      </c>
      <c r="X20" s="3" t="s">
        <v>15</v>
      </c>
      <c r="Y20" s="1" t="s">
        <v>16</v>
      </c>
      <c r="Z20" s="1"/>
      <c r="AA20" s="1"/>
      <c r="AB20" s="1" t="s">
        <v>17</v>
      </c>
      <c r="AC20" s="1"/>
      <c r="AD20" s="1">
        <v>198</v>
      </c>
      <c r="AE20" s="1" t="s">
        <v>18</v>
      </c>
      <c r="AF20" s="1">
        <v>7</v>
      </c>
      <c r="AG20" s="1" t="s">
        <v>19</v>
      </c>
      <c r="AH20" s="1"/>
      <c r="AI20" s="1" t="s">
        <v>20</v>
      </c>
      <c r="AJ20" s="4">
        <v>6223</v>
      </c>
      <c r="AK20" s="5">
        <v>13055</v>
      </c>
      <c r="AL20" s="5">
        <v>13055</v>
      </c>
      <c r="AM20" s="1"/>
      <c r="AN20" s="6">
        <v>32</v>
      </c>
      <c r="AO20" s="6">
        <v>30</v>
      </c>
      <c r="AP20" s="6">
        <v>24</v>
      </c>
      <c r="AQ20" s="6">
        <v>24</v>
      </c>
      <c r="AR20" s="6">
        <v>24</v>
      </c>
      <c r="AS20" s="6">
        <v>21</v>
      </c>
      <c r="AT20" s="1"/>
      <c r="AU20" s="1" t="s">
        <v>33</v>
      </c>
      <c r="AV20" s="1"/>
      <c r="AW20" s="7" t="e">
        <v>#VALUE!</v>
      </c>
    </row>
    <row r="21" spans="1:49" x14ac:dyDescent="0.2">
      <c r="A21" s="1" t="s">
        <v>63</v>
      </c>
      <c r="B21" s="1" t="s">
        <v>64</v>
      </c>
      <c r="C21" s="1" t="s">
        <v>2</v>
      </c>
      <c r="D21" s="1" t="s">
        <v>3</v>
      </c>
      <c r="E21" s="1" t="s">
        <v>4</v>
      </c>
      <c r="F21" s="1" t="s">
        <v>5</v>
      </c>
      <c r="G21" s="2">
        <v>40</v>
      </c>
      <c r="H21" s="1"/>
      <c r="I21" s="1" t="s">
        <v>6</v>
      </c>
      <c r="J21" s="1" t="s">
        <v>7</v>
      </c>
      <c r="K21" s="1" t="s">
        <v>32</v>
      </c>
      <c r="L21" s="1" t="s">
        <v>9</v>
      </c>
      <c r="M21" s="1" t="s">
        <v>10</v>
      </c>
      <c r="N21" s="1" t="s">
        <v>11</v>
      </c>
      <c r="O21" s="1"/>
      <c r="P21" s="1" t="s">
        <v>12</v>
      </c>
      <c r="Q21" s="1"/>
      <c r="R21" s="1" t="s">
        <v>13</v>
      </c>
      <c r="S21" s="1"/>
      <c r="T21" s="1"/>
      <c r="U21" s="1" t="s">
        <v>12</v>
      </c>
      <c r="V21" s="1"/>
      <c r="W21" s="1" t="s">
        <v>14</v>
      </c>
      <c r="X21" s="3" t="s">
        <v>15</v>
      </c>
      <c r="Y21" s="1" t="s">
        <v>16</v>
      </c>
      <c r="Z21" s="1"/>
      <c r="AA21" s="1"/>
      <c r="AB21" s="1" t="s">
        <v>17</v>
      </c>
      <c r="AC21" s="1"/>
      <c r="AD21" s="1">
        <v>198</v>
      </c>
      <c r="AE21" s="1" t="s">
        <v>18</v>
      </c>
      <c r="AF21" s="1">
        <v>7</v>
      </c>
      <c r="AG21" s="1" t="s">
        <v>19</v>
      </c>
      <c r="AH21" s="1"/>
      <c r="AI21" s="1" t="s">
        <v>20</v>
      </c>
      <c r="AJ21" s="4">
        <v>5635</v>
      </c>
      <c r="AK21" s="5">
        <v>12291</v>
      </c>
      <c r="AL21" s="5">
        <v>12291</v>
      </c>
      <c r="AM21" s="1"/>
      <c r="AN21" s="6">
        <v>40</v>
      </c>
      <c r="AO21" s="6">
        <v>34</v>
      </c>
      <c r="AP21" s="6">
        <v>27.200000000000003</v>
      </c>
      <c r="AQ21" s="6">
        <v>27.200000000000003</v>
      </c>
      <c r="AR21" s="6">
        <v>27.200000000000003</v>
      </c>
      <c r="AS21" s="6">
        <v>23.799999999999997</v>
      </c>
      <c r="AT21" s="1"/>
      <c r="AU21" s="1">
        <v>177</v>
      </c>
      <c r="AV21" s="1"/>
      <c r="AW21" s="7">
        <v>5812</v>
      </c>
    </row>
    <row r="22" spans="1:49" x14ac:dyDescent="0.2">
      <c r="A22" s="1" t="s">
        <v>65</v>
      </c>
      <c r="B22" s="1" t="s">
        <v>66</v>
      </c>
      <c r="C22" s="1" t="s">
        <v>2</v>
      </c>
      <c r="D22" s="1" t="s">
        <v>3</v>
      </c>
      <c r="E22" s="1" t="s">
        <v>4</v>
      </c>
      <c r="F22" s="1" t="s">
        <v>5</v>
      </c>
      <c r="G22" s="2">
        <v>50</v>
      </c>
      <c r="H22" s="1"/>
      <c r="I22" s="1" t="s">
        <v>6</v>
      </c>
      <c r="J22" s="1" t="s">
        <v>7</v>
      </c>
      <c r="K22" s="1" t="s">
        <v>32</v>
      </c>
      <c r="L22" s="1" t="s">
        <v>9</v>
      </c>
      <c r="M22" s="1" t="s">
        <v>10</v>
      </c>
      <c r="N22" s="1" t="s">
        <v>11</v>
      </c>
      <c r="O22" s="1"/>
      <c r="P22" s="1" t="s">
        <v>12</v>
      </c>
      <c r="Q22" s="1"/>
      <c r="R22" s="1" t="s">
        <v>13</v>
      </c>
      <c r="S22" s="1"/>
      <c r="T22" s="1"/>
      <c r="U22" s="1" t="s">
        <v>12</v>
      </c>
      <c r="V22" s="1"/>
      <c r="W22" s="1" t="s">
        <v>14</v>
      </c>
      <c r="X22" s="3" t="s">
        <v>15</v>
      </c>
      <c r="Y22" s="1" t="s">
        <v>16</v>
      </c>
      <c r="Z22" s="1"/>
      <c r="AA22" s="1"/>
      <c r="AB22" s="1" t="s">
        <v>17</v>
      </c>
      <c r="AC22" s="1"/>
      <c r="AD22" s="1">
        <v>198</v>
      </c>
      <c r="AE22" s="1" t="s">
        <v>18</v>
      </c>
      <c r="AF22" s="1">
        <v>7</v>
      </c>
      <c r="AG22" s="1" t="s">
        <v>19</v>
      </c>
      <c r="AH22" s="1"/>
      <c r="AI22" s="1" t="s">
        <v>20</v>
      </c>
      <c r="AJ22" s="4">
        <v>8185</v>
      </c>
      <c r="AK22" s="5">
        <v>18255</v>
      </c>
      <c r="AL22" s="5">
        <v>18255</v>
      </c>
      <c r="AM22" s="1"/>
      <c r="AN22" s="6">
        <v>50</v>
      </c>
      <c r="AO22" s="6">
        <v>44</v>
      </c>
      <c r="AP22" s="6">
        <v>35.200000000000003</v>
      </c>
      <c r="AQ22" s="6">
        <v>35.200000000000003</v>
      </c>
      <c r="AR22" s="6">
        <v>35.200000000000003</v>
      </c>
      <c r="AS22" s="6">
        <v>30.799999999999997</v>
      </c>
      <c r="AT22" s="1"/>
      <c r="AU22" s="1">
        <v>180</v>
      </c>
      <c r="AV22" s="1"/>
      <c r="AW22" s="7">
        <v>8365</v>
      </c>
    </row>
    <row r="23" spans="1:49" x14ac:dyDescent="0.2">
      <c r="A23" s="1" t="s">
        <v>67</v>
      </c>
      <c r="B23" s="1" t="s">
        <v>68</v>
      </c>
      <c r="C23" s="1" t="s">
        <v>2</v>
      </c>
      <c r="D23" s="1" t="s">
        <v>3</v>
      </c>
      <c r="E23" s="1" t="s">
        <v>4</v>
      </c>
      <c r="F23" s="1" t="s">
        <v>5</v>
      </c>
      <c r="G23" s="2">
        <v>8</v>
      </c>
      <c r="H23" s="1"/>
      <c r="I23" s="1" t="s">
        <v>6</v>
      </c>
      <c r="J23" s="1" t="s">
        <v>7</v>
      </c>
      <c r="K23" s="1" t="s">
        <v>32</v>
      </c>
      <c r="L23" s="1" t="s">
        <v>9</v>
      </c>
      <c r="M23" s="1" t="s">
        <v>10</v>
      </c>
      <c r="N23" s="1" t="s">
        <v>11</v>
      </c>
      <c r="O23" s="1"/>
      <c r="P23" s="1" t="s">
        <v>69</v>
      </c>
      <c r="Q23" s="1"/>
      <c r="R23" s="1" t="s">
        <v>13</v>
      </c>
      <c r="S23" s="1"/>
      <c r="T23" s="1"/>
      <c r="U23" s="1" t="s">
        <v>12</v>
      </c>
      <c r="V23" s="1"/>
      <c r="W23" s="1" t="s">
        <v>70</v>
      </c>
      <c r="X23" s="3" t="s">
        <v>15</v>
      </c>
      <c r="Y23" s="1" t="s">
        <v>16</v>
      </c>
      <c r="Z23" s="1"/>
      <c r="AA23" s="1"/>
      <c r="AB23" s="1" t="s">
        <v>17</v>
      </c>
      <c r="AC23" s="1"/>
      <c r="AD23" s="1">
        <v>154</v>
      </c>
      <c r="AE23" s="1" t="s">
        <v>18</v>
      </c>
      <c r="AF23" s="1">
        <v>6</v>
      </c>
      <c r="AG23" s="1" t="s">
        <v>19</v>
      </c>
      <c r="AH23" s="1"/>
      <c r="AI23" s="1" t="s">
        <v>20</v>
      </c>
      <c r="AJ23" s="4" t="s">
        <v>33</v>
      </c>
      <c r="AK23" s="5" t="s">
        <v>33</v>
      </c>
      <c r="AL23" s="5" t="s">
        <v>33</v>
      </c>
      <c r="AM23" s="1"/>
      <c r="AN23" s="6">
        <v>9.6</v>
      </c>
      <c r="AO23" s="6">
        <v>7.8</v>
      </c>
      <c r="AP23" s="6">
        <v>6.24</v>
      </c>
      <c r="AQ23" s="6">
        <v>6.24</v>
      </c>
      <c r="AR23" s="6">
        <v>6.24</v>
      </c>
      <c r="AS23" s="6">
        <v>5.46</v>
      </c>
      <c r="AT23" s="1"/>
      <c r="AU23" s="1"/>
      <c r="AV23" s="1"/>
      <c r="AW23" s="1"/>
    </row>
    <row r="24" spans="1:49" x14ac:dyDescent="0.2">
      <c r="A24" s="1" t="s">
        <v>71</v>
      </c>
      <c r="B24" s="1" t="s">
        <v>72</v>
      </c>
      <c r="C24" s="1" t="s">
        <v>2</v>
      </c>
      <c r="D24" s="1" t="s">
        <v>3</v>
      </c>
      <c r="E24" s="1" t="s">
        <v>4</v>
      </c>
      <c r="F24" s="1" t="s">
        <v>5</v>
      </c>
      <c r="G24" s="2">
        <v>10</v>
      </c>
      <c r="H24" s="1"/>
      <c r="I24" s="1" t="s">
        <v>6</v>
      </c>
      <c r="J24" s="1" t="s">
        <v>7</v>
      </c>
      <c r="K24" s="1" t="s">
        <v>32</v>
      </c>
      <c r="L24" s="1" t="s">
        <v>9</v>
      </c>
      <c r="M24" s="1" t="s">
        <v>10</v>
      </c>
      <c r="N24" s="1" t="s">
        <v>11</v>
      </c>
      <c r="O24" s="1"/>
      <c r="P24" s="1" t="s">
        <v>69</v>
      </c>
      <c r="Q24" s="1"/>
      <c r="R24" s="1" t="s">
        <v>13</v>
      </c>
      <c r="S24" s="1"/>
      <c r="T24" s="1"/>
      <c r="U24" s="1" t="s">
        <v>12</v>
      </c>
      <c r="V24" s="1"/>
      <c r="W24" s="1" t="s">
        <v>70</v>
      </c>
      <c r="X24" s="3" t="s">
        <v>15</v>
      </c>
      <c r="Y24" s="1" t="s">
        <v>16</v>
      </c>
      <c r="Z24" s="1"/>
      <c r="AA24" s="1"/>
      <c r="AB24" s="1" t="s">
        <v>17</v>
      </c>
      <c r="AC24" s="1"/>
      <c r="AD24" s="1">
        <v>154</v>
      </c>
      <c r="AE24" s="1" t="s">
        <v>18</v>
      </c>
      <c r="AF24" s="1">
        <v>6</v>
      </c>
      <c r="AG24" s="1" t="s">
        <v>19</v>
      </c>
      <c r="AH24" s="1"/>
      <c r="AI24" s="1" t="s">
        <v>20</v>
      </c>
      <c r="AJ24" s="4" t="s">
        <v>33</v>
      </c>
      <c r="AK24" s="5" t="s">
        <v>33</v>
      </c>
      <c r="AL24" s="5" t="s">
        <v>33</v>
      </c>
      <c r="AM24" s="1"/>
      <c r="AN24" s="6">
        <v>12</v>
      </c>
      <c r="AO24" s="6">
        <v>7.8</v>
      </c>
      <c r="AP24" s="6">
        <v>6.24</v>
      </c>
      <c r="AQ24" s="6">
        <v>6.24</v>
      </c>
      <c r="AR24" s="6">
        <v>6.24</v>
      </c>
      <c r="AS24" s="6">
        <v>5.46</v>
      </c>
      <c r="AT24" s="1"/>
      <c r="AU24" s="1"/>
      <c r="AV24" s="1"/>
      <c r="AW24" s="1"/>
    </row>
    <row r="25" spans="1:49" x14ac:dyDescent="0.2">
      <c r="A25" s="1" t="s">
        <v>73</v>
      </c>
      <c r="B25" s="1" t="s">
        <v>74</v>
      </c>
      <c r="C25" s="1" t="s">
        <v>2</v>
      </c>
      <c r="D25" s="1" t="s">
        <v>3</v>
      </c>
      <c r="E25" s="1" t="s">
        <v>4</v>
      </c>
      <c r="F25" s="1" t="s">
        <v>5</v>
      </c>
      <c r="G25" s="2">
        <v>15</v>
      </c>
      <c r="H25" s="1"/>
      <c r="I25" s="1" t="s">
        <v>6</v>
      </c>
      <c r="J25" s="1" t="s">
        <v>7</v>
      </c>
      <c r="K25" s="1" t="s">
        <v>32</v>
      </c>
      <c r="L25" s="1" t="s">
        <v>9</v>
      </c>
      <c r="M25" s="1" t="s">
        <v>10</v>
      </c>
      <c r="N25" s="1" t="s">
        <v>11</v>
      </c>
      <c r="O25" s="1"/>
      <c r="P25" s="1" t="s">
        <v>69</v>
      </c>
      <c r="Q25" s="1"/>
      <c r="R25" s="1" t="s">
        <v>13</v>
      </c>
      <c r="S25" s="1"/>
      <c r="T25" s="1"/>
      <c r="U25" s="1" t="s">
        <v>12</v>
      </c>
      <c r="V25" s="1"/>
      <c r="W25" s="1" t="s">
        <v>70</v>
      </c>
      <c r="X25" s="3" t="s">
        <v>15</v>
      </c>
      <c r="Y25" s="1" t="s">
        <v>16</v>
      </c>
      <c r="Z25" s="1"/>
      <c r="AA25" s="1"/>
      <c r="AB25" s="1" t="s">
        <v>17</v>
      </c>
      <c r="AC25" s="1"/>
      <c r="AD25" s="1">
        <v>154</v>
      </c>
      <c r="AE25" s="1" t="s">
        <v>18</v>
      </c>
      <c r="AF25" s="1">
        <v>6</v>
      </c>
      <c r="AG25" s="1" t="s">
        <v>19</v>
      </c>
      <c r="AH25" s="1"/>
      <c r="AI25" s="1" t="s">
        <v>20</v>
      </c>
      <c r="AJ25" s="4">
        <v>1623</v>
      </c>
      <c r="AK25" s="5">
        <v>3246</v>
      </c>
      <c r="AL25" s="5">
        <v>3246</v>
      </c>
      <c r="AM25" s="1"/>
      <c r="AN25" s="6">
        <v>18</v>
      </c>
      <c r="AO25" s="6">
        <v>7.8</v>
      </c>
      <c r="AP25" s="6">
        <v>6.24</v>
      </c>
      <c r="AQ25" s="6">
        <v>6.24</v>
      </c>
      <c r="AR25" s="6">
        <v>6.24</v>
      </c>
      <c r="AS25" s="6">
        <v>5.46</v>
      </c>
      <c r="AT25" s="1"/>
      <c r="AU25" s="1"/>
      <c r="AV25" s="1"/>
      <c r="AW25" s="1"/>
    </row>
    <row r="26" spans="1:49" x14ac:dyDescent="0.2">
      <c r="A26" s="1" t="s">
        <v>75</v>
      </c>
      <c r="B26" s="1" t="s">
        <v>76</v>
      </c>
      <c r="C26" s="1" t="s">
        <v>2</v>
      </c>
      <c r="D26" s="1" t="s">
        <v>3</v>
      </c>
      <c r="E26" s="1" t="s">
        <v>4</v>
      </c>
      <c r="F26" s="1" t="s">
        <v>5</v>
      </c>
      <c r="G26" s="2">
        <v>20</v>
      </c>
      <c r="H26" s="1"/>
      <c r="I26" s="1" t="s">
        <v>23</v>
      </c>
      <c r="J26" s="1" t="s">
        <v>7</v>
      </c>
      <c r="K26" s="1" t="s">
        <v>32</v>
      </c>
      <c r="L26" s="1" t="s">
        <v>9</v>
      </c>
      <c r="M26" s="1" t="s">
        <v>10</v>
      </c>
      <c r="N26" s="1" t="s">
        <v>11</v>
      </c>
      <c r="O26" s="1"/>
      <c r="P26" s="1" t="s">
        <v>69</v>
      </c>
      <c r="Q26" s="1"/>
      <c r="R26" s="1" t="s">
        <v>13</v>
      </c>
      <c r="S26" s="1"/>
      <c r="T26" s="1"/>
      <c r="U26" s="1" t="s">
        <v>12</v>
      </c>
      <c r="V26" s="1"/>
      <c r="W26" s="1" t="s">
        <v>70</v>
      </c>
      <c r="X26" s="3" t="s">
        <v>15</v>
      </c>
      <c r="Y26" s="1" t="s">
        <v>16</v>
      </c>
      <c r="Z26" s="1"/>
      <c r="AA26" s="1"/>
      <c r="AB26" s="1" t="s">
        <v>17</v>
      </c>
      <c r="AC26" s="1"/>
      <c r="AD26" s="1">
        <v>154</v>
      </c>
      <c r="AE26" s="1" t="s">
        <v>18</v>
      </c>
      <c r="AF26" s="1">
        <v>6</v>
      </c>
      <c r="AG26" s="1" t="s">
        <v>19</v>
      </c>
      <c r="AH26" s="1"/>
      <c r="AI26" s="1" t="s">
        <v>20</v>
      </c>
      <c r="AJ26" s="4">
        <v>1695</v>
      </c>
      <c r="AK26" s="5">
        <v>3390</v>
      </c>
      <c r="AL26" s="5">
        <v>3390</v>
      </c>
      <c r="AM26" s="1"/>
      <c r="AN26" s="6">
        <v>24</v>
      </c>
      <c r="AO26" s="6">
        <v>7.8</v>
      </c>
      <c r="AP26" s="6">
        <v>6.24</v>
      </c>
      <c r="AQ26" s="6">
        <v>6.24</v>
      </c>
      <c r="AR26" s="6">
        <v>6.24</v>
      </c>
      <c r="AS26" s="6">
        <v>5.46</v>
      </c>
      <c r="AT26" s="1"/>
      <c r="AU26" s="1"/>
      <c r="AV26" s="1"/>
      <c r="AW26" s="1"/>
    </row>
    <row r="27" spans="1:49" x14ac:dyDescent="0.2">
      <c r="A27" s="1" t="s">
        <v>77</v>
      </c>
      <c r="B27" s="1" t="s">
        <v>78</v>
      </c>
      <c r="C27" s="1" t="s">
        <v>2</v>
      </c>
      <c r="D27" s="1" t="s">
        <v>3</v>
      </c>
      <c r="E27" s="1" t="s">
        <v>4</v>
      </c>
      <c r="F27" s="1" t="s">
        <v>5</v>
      </c>
      <c r="G27" s="2">
        <v>25</v>
      </c>
      <c r="H27" s="1"/>
      <c r="I27" s="1" t="s">
        <v>23</v>
      </c>
      <c r="J27" s="1" t="s">
        <v>7</v>
      </c>
      <c r="K27" s="1" t="s">
        <v>32</v>
      </c>
      <c r="L27" s="1" t="s">
        <v>9</v>
      </c>
      <c r="M27" s="1" t="s">
        <v>10</v>
      </c>
      <c r="N27" s="1" t="s">
        <v>11</v>
      </c>
      <c r="O27" s="1"/>
      <c r="P27" s="1" t="s">
        <v>69</v>
      </c>
      <c r="Q27" s="1"/>
      <c r="R27" s="1" t="s">
        <v>13</v>
      </c>
      <c r="S27" s="1"/>
      <c r="T27" s="1"/>
      <c r="U27" s="1" t="s">
        <v>12</v>
      </c>
      <c r="V27" s="1"/>
      <c r="W27" s="1" t="s">
        <v>70</v>
      </c>
      <c r="X27" s="3" t="s">
        <v>15</v>
      </c>
      <c r="Y27" s="1" t="s">
        <v>16</v>
      </c>
      <c r="Z27" s="1"/>
      <c r="AA27" s="1"/>
      <c r="AB27" s="1" t="s">
        <v>17</v>
      </c>
      <c r="AC27" s="1"/>
      <c r="AD27" s="1">
        <v>154</v>
      </c>
      <c r="AE27" s="1" t="s">
        <v>18</v>
      </c>
      <c r="AF27" s="1">
        <v>6</v>
      </c>
      <c r="AG27" s="1" t="s">
        <v>19</v>
      </c>
      <c r="AH27" s="1"/>
      <c r="AI27" s="1" t="s">
        <v>20</v>
      </c>
      <c r="AJ27" s="4">
        <v>2552</v>
      </c>
      <c r="AK27" s="5">
        <v>5104</v>
      </c>
      <c r="AL27" s="5">
        <v>5104</v>
      </c>
      <c r="AM27" s="1"/>
      <c r="AN27" s="6">
        <v>30</v>
      </c>
      <c r="AO27" s="6">
        <v>10.799999999999999</v>
      </c>
      <c r="AP27" s="6">
        <v>8.6399999999999988</v>
      </c>
      <c r="AQ27" s="6">
        <v>8.6399999999999988</v>
      </c>
      <c r="AR27" s="6">
        <v>8.6399999999999988</v>
      </c>
      <c r="AS27" s="6">
        <v>7.56</v>
      </c>
      <c r="AT27" s="1"/>
      <c r="AU27" s="1"/>
      <c r="AV27" s="1"/>
      <c r="AW27" s="1"/>
    </row>
    <row r="28" spans="1:49" x14ac:dyDescent="0.2">
      <c r="A28" s="1" t="s">
        <v>79</v>
      </c>
      <c r="B28" s="1" t="s">
        <v>80</v>
      </c>
      <c r="C28" s="1" t="s">
        <v>2</v>
      </c>
      <c r="D28" s="1" t="s">
        <v>3</v>
      </c>
      <c r="E28" s="1" t="s">
        <v>4</v>
      </c>
      <c r="F28" s="1" t="s">
        <v>5</v>
      </c>
      <c r="G28" s="2">
        <v>32</v>
      </c>
      <c r="H28" s="1"/>
      <c r="I28" s="1" t="s">
        <v>23</v>
      </c>
      <c r="J28" s="1" t="s">
        <v>7</v>
      </c>
      <c r="K28" s="1" t="s">
        <v>32</v>
      </c>
      <c r="L28" s="1" t="s">
        <v>9</v>
      </c>
      <c r="M28" s="1" t="s">
        <v>10</v>
      </c>
      <c r="N28" s="1" t="s">
        <v>11</v>
      </c>
      <c r="O28" s="1"/>
      <c r="P28" s="1" t="s">
        <v>69</v>
      </c>
      <c r="Q28" s="1"/>
      <c r="R28" s="1" t="s">
        <v>13</v>
      </c>
      <c r="S28" s="1"/>
      <c r="T28" s="1"/>
      <c r="U28" s="1" t="s">
        <v>12</v>
      </c>
      <c r="V28" s="1"/>
      <c r="W28" s="1" t="s">
        <v>70</v>
      </c>
      <c r="X28" s="3" t="s">
        <v>15</v>
      </c>
      <c r="Y28" s="1" t="s">
        <v>16</v>
      </c>
      <c r="Z28" s="1"/>
      <c r="AA28" s="1"/>
      <c r="AB28" s="1" t="s">
        <v>17</v>
      </c>
      <c r="AC28" s="1"/>
      <c r="AD28" s="1">
        <v>154</v>
      </c>
      <c r="AE28" s="1" t="s">
        <v>18</v>
      </c>
      <c r="AF28" s="1">
        <v>6</v>
      </c>
      <c r="AG28" s="1" t="s">
        <v>19</v>
      </c>
      <c r="AH28" s="1"/>
      <c r="AI28" s="1" t="s">
        <v>20</v>
      </c>
      <c r="AJ28" s="4" t="s">
        <v>33</v>
      </c>
      <c r="AK28" s="5" t="s">
        <v>33</v>
      </c>
      <c r="AL28" s="5" t="s">
        <v>33</v>
      </c>
      <c r="AM28" s="1"/>
      <c r="AN28" s="6">
        <v>38.4</v>
      </c>
      <c r="AO28" s="6">
        <v>19.2</v>
      </c>
      <c r="AP28" s="6">
        <v>15.36</v>
      </c>
      <c r="AQ28" s="6">
        <v>15.36</v>
      </c>
      <c r="AR28" s="6">
        <v>15.36</v>
      </c>
      <c r="AS28" s="6">
        <v>13.44</v>
      </c>
      <c r="AT28" s="1"/>
      <c r="AU28" s="1"/>
      <c r="AV28" s="1"/>
      <c r="AW28" s="1"/>
    </row>
    <row r="29" spans="1:49" x14ac:dyDescent="0.2">
      <c r="A29" s="1" t="s">
        <v>81</v>
      </c>
      <c r="B29" s="1" t="s">
        <v>82</v>
      </c>
      <c r="C29" s="1" t="s">
        <v>2</v>
      </c>
      <c r="D29" s="1" t="s">
        <v>3</v>
      </c>
      <c r="E29" s="1" t="s">
        <v>4</v>
      </c>
      <c r="F29" s="1" t="s">
        <v>5</v>
      </c>
      <c r="G29" s="2">
        <v>40</v>
      </c>
      <c r="H29" s="1"/>
      <c r="I29" s="1" t="s">
        <v>23</v>
      </c>
      <c r="J29" s="1" t="s">
        <v>7</v>
      </c>
      <c r="K29" s="1" t="s">
        <v>32</v>
      </c>
      <c r="L29" s="1" t="s">
        <v>9</v>
      </c>
      <c r="M29" s="1" t="s">
        <v>10</v>
      </c>
      <c r="N29" s="1" t="s">
        <v>11</v>
      </c>
      <c r="O29" s="1"/>
      <c r="P29" s="1" t="s">
        <v>69</v>
      </c>
      <c r="Q29" s="1"/>
      <c r="R29" s="1" t="s">
        <v>13</v>
      </c>
      <c r="S29" s="1"/>
      <c r="T29" s="1"/>
      <c r="U29" s="1" t="s">
        <v>12</v>
      </c>
      <c r="V29" s="1"/>
      <c r="W29" s="1" t="s">
        <v>70</v>
      </c>
      <c r="X29" s="3" t="s">
        <v>15</v>
      </c>
      <c r="Y29" s="1" t="s">
        <v>16</v>
      </c>
      <c r="Z29" s="1"/>
      <c r="AA29" s="1"/>
      <c r="AB29" s="1" t="s">
        <v>17</v>
      </c>
      <c r="AC29" s="1"/>
      <c r="AD29" s="1">
        <v>154</v>
      </c>
      <c r="AE29" s="1" t="s">
        <v>18</v>
      </c>
      <c r="AF29" s="1">
        <v>6</v>
      </c>
      <c r="AG29" s="1" t="s">
        <v>19</v>
      </c>
      <c r="AH29" s="1"/>
      <c r="AI29" s="1" t="s">
        <v>20</v>
      </c>
      <c r="AJ29" s="4">
        <v>5353</v>
      </c>
      <c r="AK29" s="5">
        <v>10706</v>
      </c>
      <c r="AL29" s="5">
        <v>10706</v>
      </c>
      <c r="AM29" s="1"/>
      <c r="AN29" s="6">
        <v>48</v>
      </c>
      <c r="AO29" s="6">
        <v>15.6</v>
      </c>
      <c r="AP29" s="6">
        <v>12.48</v>
      </c>
      <c r="AQ29" s="6">
        <v>12.48</v>
      </c>
      <c r="AR29" s="6">
        <v>12.48</v>
      </c>
      <c r="AS29" s="6">
        <v>10.92</v>
      </c>
      <c r="AT29" s="1"/>
      <c r="AU29" s="1"/>
      <c r="AV29" s="1"/>
      <c r="AW29" s="1"/>
    </row>
    <row r="30" spans="1:49" x14ac:dyDescent="0.2">
      <c r="A30" s="1" t="s">
        <v>83</v>
      </c>
      <c r="B30" s="1" t="s">
        <v>84</v>
      </c>
      <c r="C30" s="1" t="s">
        <v>2</v>
      </c>
      <c r="D30" s="1" t="s">
        <v>3</v>
      </c>
      <c r="E30" s="1" t="s">
        <v>4</v>
      </c>
      <c r="F30" s="1" t="s">
        <v>5</v>
      </c>
      <c r="G30" s="2">
        <v>50</v>
      </c>
      <c r="H30" s="1"/>
      <c r="I30" s="1" t="s">
        <v>23</v>
      </c>
      <c r="J30" s="1" t="s">
        <v>7</v>
      </c>
      <c r="K30" s="1" t="s">
        <v>32</v>
      </c>
      <c r="L30" s="1" t="s">
        <v>9</v>
      </c>
      <c r="M30" s="1" t="s">
        <v>10</v>
      </c>
      <c r="N30" s="1" t="s">
        <v>11</v>
      </c>
      <c r="O30" s="1"/>
      <c r="P30" s="1" t="s">
        <v>69</v>
      </c>
      <c r="Q30" s="1"/>
      <c r="R30" s="1" t="s">
        <v>13</v>
      </c>
      <c r="S30" s="1"/>
      <c r="T30" s="1"/>
      <c r="U30" s="1" t="s">
        <v>12</v>
      </c>
      <c r="V30" s="1"/>
      <c r="W30" s="1" t="s">
        <v>70</v>
      </c>
      <c r="X30" s="3" t="s">
        <v>15</v>
      </c>
      <c r="Y30" s="1" t="s">
        <v>16</v>
      </c>
      <c r="Z30" s="1"/>
      <c r="AA30" s="1"/>
      <c r="AB30" s="1" t="s">
        <v>17</v>
      </c>
      <c r="AC30" s="1"/>
      <c r="AD30" s="1">
        <v>154</v>
      </c>
      <c r="AE30" s="1" t="s">
        <v>18</v>
      </c>
      <c r="AF30" s="1">
        <v>6</v>
      </c>
      <c r="AG30" s="1" t="s">
        <v>19</v>
      </c>
      <c r="AH30" s="1"/>
      <c r="AI30" s="1" t="s">
        <v>20</v>
      </c>
      <c r="AJ30" s="4">
        <v>6517</v>
      </c>
      <c r="AK30" s="5">
        <v>13034</v>
      </c>
      <c r="AL30" s="5">
        <v>13034</v>
      </c>
      <c r="AM30" s="1"/>
      <c r="AN30" s="6">
        <v>60</v>
      </c>
      <c r="AO30" s="6">
        <v>40.799999999999997</v>
      </c>
      <c r="AP30" s="6">
        <v>32.64</v>
      </c>
      <c r="AQ30" s="6">
        <v>32.64</v>
      </c>
      <c r="AR30" s="6">
        <v>32.64</v>
      </c>
      <c r="AS30" s="6">
        <v>28.559999999999995</v>
      </c>
      <c r="AT30" s="1"/>
      <c r="AU30" s="1"/>
      <c r="AV30" s="1"/>
      <c r="AW30" s="1"/>
    </row>
  </sheetData>
  <conditionalFormatting sqref="B1:B22">
    <cfRule type="duplicateValues" dxfId="16" priority="2"/>
  </conditionalFormatting>
  <conditionalFormatting sqref="B23:B30">
    <cfRule type="duplicateValues" dxfId="1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2"/>
  <sheetViews>
    <sheetView topLeftCell="B1" workbookViewId="0">
      <selection activeCell="C36" sqref="C36"/>
    </sheetView>
  </sheetViews>
  <sheetFormatPr baseColWidth="10" defaultColWidth="8.83203125" defaultRowHeight="15" x14ac:dyDescent="0.2"/>
  <cols>
    <col min="1" max="1" width="14.33203125" bestFit="1" customWidth="1"/>
    <col min="2" max="2" width="17.1640625" bestFit="1" customWidth="1"/>
    <col min="21" max="21" width="14.5" bestFit="1" customWidth="1"/>
  </cols>
  <sheetData>
    <row r="1" spans="1:22" x14ac:dyDescent="0.2">
      <c r="A1" s="18" t="s">
        <v>288</v>
      </c>
      <c r="B1" s="18" t="s">
        <v>86</v>
      </c>
      <c r="C1" s="18" t="s">
        <v>87</v>
      </c>
      <c r="D1" s="18" t="s">
        <v>289</v>
      </c>
      <c r="E1" s="18" t="s">
        <v>290</v>
      </c>
      <c r="F1" s="18" t="s">
        <v>291</v>
      </c>
      <c r="G1" s="18" t="s">
        <v>292</v>
      </c>
      <c r="H1" s="18" t="s">
        <v>293</v>
      </c>
      <c r="I1" s="18" t="s">
        <v>294</v>
      </c>
      <c r="J1" s="18" t="s">
        <v>295</v>
      </c>
      <c r="K1" s="18" t="s">
        <v>296</v>
      </c>
      <c r="L1" s="18" t="s">
        <v>297</v>
      </c>
      <c r="M1" s="18" t="s">
        <v>298</v>
      </c>
      <c r="N1" s="18" t="s">
        <v>299</v>
      </c>
      <c r="O1" s="18" t="s">
        <v>300</v>
      </c>
      <c r="P1" s="18" t="s">
        <v>301</v>
      </c>
      <c r="Q1" s="18" t="s">
        <v>302</v>
      </c>
      <c r="R1" s="18" t="s">
        <v>119</v>
      </c>
      <c r="S1" s="19" t="s">
        <v>303</v>
      </c>
      <c r="T1" s="20" t="s">
        <v>304</v>
      </c>
      <c r="U1" s="18" t="s">
        <v>656</v>
      </c>
      <c r="V1" s="18" t="s">
        <v>657</v>
      </c>
    </row>
    <row r="2" spans="1:22" x14ac:dyDescent="0.2">
      <c r="A2" s="1" t="s">
        <v>305</v>
      </c>
      <c r="B2" s="1" t="s">
        <v>306</v>
      </c>
      <c r="C2" s="1" t="s">
        <v>307</v>
      </c>
      <c r="D2" s="21" t="s">
        <v>308</v>
      </c>
      <c r="E2" s="21" t="s">
        <v>309</v>
      </c>
      <c r="F2" s="21"/>
      <c r="G2" s="21"/>
      <c r="H2" s="21" t="s">
        <v>310</v>
      </c>
      <c r="I2" s="21"/>
      <c r="J2" s="21"/>
      <c r="K2" s="21" t="s">
        <v>311</v>
      </c>
      <c r="L2" s="21" t="s">
        <v>312</v>
      </c>
      <c r="M2" s="21" t="s">
        <v>313</v>
      </c>
      <c r="N2" s="21"/>
      <c r="O2" s="21"/>
      <c r="P2" s="21"/>
      <c r="Q2" s="21" t="s">
        <v>314</v>
      </c>
      <c r="R2" s="21" t="s">
        <v>20</v>
      </c>
      <c r="S2" s="22">
        <v>2050</v>
      </c>
      <c r="T2" s="23" t="s">
        <v>33</v>
      </c>
      <c r="U2" s="21" t="s">
        <v>658</v>
      </c>
      <c r="V2" s="33" t="s">
        <v>659</v>
      </c>
    </row>
    <row r="3" spans="1:22" x14ac:dyDescent="0.2">
      <c r="A3" s="1" t="s">
        <v>315</v>
      </c>
      <c r="B3" s="1" t="s">
        <v>316</v>
      </c>
      <c r="C3" s="1" t="s">
        <v>307</v>
      </c>
      <c r="D3" s="21" t="s">
        <v>308</v>
      </c>
      <c r="E3" s="21" t="s">
        <v>309</v>
      </c>
      <c r="F3" s="21"/>
      <c r="G3" s="21"/>
      <c r="H3" s="21" t="s">
        <v>310</v>
      </c>
      <c r="I3" s="21"/>
      <c r="J3" s="21"/>
      <c r="K3" s="21" t="s">
        <v>311</v>
      </c>
      <c r="L3" s="21" t="s">
        <v>312</v>
      </c>
      <c r="M3" s="21" t="s">
        <v>313</v>
      </c>
      <c r="N3" s="21"/>
      <c r="O3" s="21"/>
      <c r="P3" s="21"/>
      <c r="Q3" s="21" t="s">
        <v>314</v>
      </c>
      <c r="R3" s="21" t="s">
        <v>20</v>
      </c>
      <c r="S3" s="22">
        <v>2350</v>
      </c>
      <c r="T3" s="23" t="s">
        <v>33</v>
      </c>
    </row>
    <row r="4" spans="1:22" x14ac:dyDescent="0.2">
      <c r="A4" s="1" t="s">
        <v>317</v>
      </c>
      <c r="B4" s="1" t="s">
        <v>318</v>
      </c>
      <c r="C4" s="1" t="s">
        <v>307</v>
      </c>
      <c r="D4" s="21" t="s">
        <v>308</v>
      </c>
      <c r="E4" s="21" t="s">
        <v>309</v>
      </c>
      <c r="F4" s="21"/>
      <c r="G4" s="21"/>
      <c r="H4" s="21" t="s">
        <v>310</v>
      </c>
      <c r="I4" s="21"/>
      <c r="J4" s="21"/>
      <c r="K4" s="21" t="s">
        <v>311</v>
      </c>
      <c r="L4" s="21" t="s">
        <v>312</v>
      </c>
      <c r="M4" s="21" t="s">
        <v>313</v>
      </c>
      <c r="N4" s="21"/>
      <c r="O4" s="21"/>
      <c r="P4" s="21"/>
      <c r="Q4" s="21" t="s">
        <v>314</v>
      </c>
      <c r="R4" s="21" t="s">
        <v>20</v>
      </c>
      <c r="S4" s="22">
        <v>2680</v>
      </c>
      <c r="T4" s="23" t="s">
        <v>33</v>
      </c>
    </row>
    <row r="5" spans="1:22" x14ac:dyDescent="0.2">
      <c r="A5" s="1" t="s">
        <v>319</v>
      </c>
      <c r="B5" s="1" t="s">
        <v>320</v>
      </c>
      <c r="C5" s="1" t="s">
        <v>307</v>
      </c>
      <c r="D5" s="21" t="s">
        <v>308</v>
      </c>
      <c r="E5" s="21" t="s">
        <v>309</v>
      </c>
      <c r="F5" s="21"/>
      <c r="G5" s="21"/>
      <c r="H5" s="21" t="s">
        <v>310</v>
      </c>
      <c r="I5" s="21"/>
      <c r="J5" s="21"/>
      <c r="K5" s="21" t="s">
        <v>311</v>
      </c>
      <c r="L5" s="21" t="s">
        <v>312</v>
      </c>
      <c r="M5" s="21" t="s">
        <v>313</v>
      </c>
      <c r="N5" s="21"/>
      <c r="O5" s="21"/>
      <c r="P5" s="21"/>
      <c r="Q5" s="21" t="s">
        <v>314</v>
      </c>
      <c r="R5" s="21" t="s">
        <v>20</v>
      </c>
      <c r="S5" s="22">
        <v>3200</v>
      </c>
      <c r="T5" s="23" t="s">
        <v>33</v>
      </c>
    </row>
    <row r="6" spans="1:22" x14ac:dyDescent="0.2">
      <c r="A6" s="1" t="s">
        <v>321</v>
      </c>
      <c r="B6" s="1" t="s">
        <v>322</v>
      </c>
      <c r="C6" s="1" t="s">
        <v>307</v>
      </c>
      <c r="D6" s="21" t="s">
        <v>308</v>
      </c>
      <c r="E6" s="21" t="s">
        <v>309</v>
      </c>
      <c r="F6" s="21"/>
      <c r="G6" s="21"/>
      <c r="H6" s="21" t="s">
        <v>310</v>
      </c>
      <c r="I6" s="21"/>
      <c r="J6" s="21"/>
      <c r="K6" s="21" t="s">
        <v>311</v>
      </c>
      <c r="L6" s="21" t="s">
        <v>312</v>
      </c>
      <c r="M6" s="21" t="s">
        <v>313</v>
      </c>
      <c r="N6" s="21"/>
      <c r="O6" s="21"/>
      <c r="P6" s="21"/>
      <c r="Q6" s="21" t="s">
        <v>314</v>
      </c>
      <c r="R6" s="21" t="s">
        <v>20</v>
      </c>
      <c r="S6" s="22">
        <v>4600</v>
      </c>
      <c r="T6" s="23" t="s">
        <v>33</v>
      </c>
    </row>
    <row r="7" spans="1:22" x14ac:dyDescent="0.2">
      <c r="A7" s="1" t="s">
        <v>323</v>
      </c>
      <c r="B7" s="1" t="s">
        <v>324</v>
      </c>
      <c r="C7" s="1" t="s">
        <v>307</v>
      </c>
      <c r="D7" s="21" t="s">
        <v>308</v>
      </c>
      <c r="E7" s="21" t="s">
        <v>309</v>
      </c>
      <c r="F7" s="21"/>
      <c r="G7" s="21"/>
      <c r="H7" s="21" t="s">
        <v>310</v>
      </c>
      <c r="I7" s="21"/>
      <c r="J7" s="21"/>
      <c r="K7" s="21" t="s">
        <v>311</v>
      </c>
      <c r="L7" s="21" t="s">
        <v>312</v>
      </c>
      <c r="M7" s="21" t="s">
        <v>313</v>
      </c>
      <c r="N7" s="21"/>
      <c r="O7" s="21"/>
      <c r="P7" s="21"/>
      <c r="Q7" s="21" t="s">
        <v>314</v>
      </c>
      <c r="R7" s="21" t="s">
        <v>20</v>
      </c>
      <c r="S7" s="22">
        <v>5960</v>
      </c>
      <c r="T7" s="23" t="s">
        <v>33</v>
      </c>
    </row>
    <row r="8" spans="1:22" x14ac:dyDescent="0.2">
      <c r="A8" s="1" t="s">
        <v>325</v>
      </c>
      <c r="B8" s="1" t="s">
        <v>326</v>
      </c>
      <c r="C8" s="1" t="s">
        <v>307</v>
      </c>
      <c r="D8" s="21" t="s">
        <v>308</v>
      </c>
      <c r="E8" s="21" t="s">
        <v>309</v>
      </c>
      <c r="F8" s="21"/>
      <c r="G8" s="21"/>
      <c r="H8" s="21" t="s">
        <v>310</v>
      </c>
      <c r="I8" s="21"/>
      <c r="J8" s="21"/>
      <c r="K8" s="21" t="s">
        <v>311</v>
      </c>
      <c r="L8" s="21" t="s">
        <v>312</v>
      </c>
      <c r="M8" s="21" t="s">
        <v>313</v>
      </c>
      <c r="N8" s="21"/>
      <c r="O8" s="21"/>
      <c r="P8" s="21"/>
      <c r="Q8" s="21" t="s">
        <v>314</v>
      </c>
      <c r="R8" s="21" t="s">
        <v>20</v>
      </c>
      <c r="S8" s="22">
        <v>6910</v>
      </c>
      <c r="T8" s="23" t="s">
        <v>33</v>
      </c>
    </row>
    <row r="9" spans="1:22" x14ac:dyDescent="0.2">
      <c r="A9" s="1" t="s">
        <v>327</v>
      </c>
      <c r="B9" s="1" t="s">
        <v>328</v>
      </c>
      <c r="C9" s="1" t="s">
        <v>307</v>
      </c>
      <c r="D9" s="21" t="s">
        <v>308</v>
      </c>
      <c r="E9" s="21" t="s">
        <v>309</v>
      </c>
      <c r="F9" s="21"/>
      <c r="G9" s="21"/>
      <c r="H9" s="21" t="s">
        <v>310</v>
      </c>
      <c r="I9" s="21"/>
      <c r="J9" s="21"/>
      <c r="K9" s="21" t="s">
        <v>311</v>
      </c>
      <c r="L9" s="21" t="s">
        <v>312</v>
      </c>
      <c r="M9" s="21" t="s">
        <v>313</v>
      </c>
      <c r="N9" s="21"/>
      <c r="O9" s="21"/>
      <c r="P9" s="21"/>
      <c r="Q9" s="21" t="s">
        <v>314</v>
      </c>
      <c r="R9" s="21" t="s">
        <v>20</v>
      </c>
      <c r="S9" s="22">
        <v>8590</v>
      </c>
      <c r="T9" s="23" t="s">
        <v>33</v>
      </c>
    </row>
    <row r="10" spans="1:22" x14ac:dyDescent="0.2">
      <c r="A10" s="1" t="s">
        <v>329</v>
      </c>
      <c r="B10" s="1" t="s">
        <v>330</v>
      </c>
      <c r="C10" s="1" t="s">
        <v>307</v>
      </c>
      <c r="D10" s="21" t="s">
        <v>308</v>
      </c>
      <c r="E10" s="21" t="s">
        <v>309</v>
      </c>
      <c r="F10" s="21"/>
      <c r="G10" s="21"/>
      <c r="H10" s="21" t="s">
        <v>310</v>
      </c>
      <c r="I10" s="21"/>
      <c r="J10" s="21"/>
      <c r="K10" s="21" t="s">
        <v>311</v>
      </c>
      <c r="L10" s="21" t="s">
        <v>312</v>
      </c>
      <c r="M10" s="21" t="s">
        <v>313</v>
      </c>
      <c r="N10" s="21"/>
      <c r="O10" s="21"/>
      <c r="P10" s="21"/>
      <c r="Q10" s="21" t="s">
        <v>314</v>
      </c>
      <c r="R10" s="21" t="s">
        <v>20</v>
      </c>
      <c r="S10" s="22">
        <v>12870</v>
      </c>
      <c r="T10" s="23" t="s">
        <v>33</v>
      </c>
    </row>
    <row r="11" spans="1:22" x14ac:dyDescent="0.2">
      <c r="A11" s="1" t="s">
        <v>331</v>
      </c>
      <c r="B11" s="1" t="s">
        <v>332</v>
      </c>
      <c r="C11" s="1" t="s">
        <v>307</v>
      </c>
      <c r="D11" s="21" t="s">
        <v>308</v>
      </c>
      <c r="E11" s="21" t="s">
        <v>309</v>
      </c>
      <c r="F11" s="21"/>
      <c r="G11" s="21"/>
      <c r="H11" s="21" t="s">
        <v>310</v>
      </c>
      <c r="I11" s="21"/>
      <c r="J11" s="21"/>
      <c r="K11" s="21" t="s">
        <v>311</v>
      </c>
      <c r="L11" s="21" t="s">
        <v>312</v>
      </c>
      <c r="M11" s="21" t="s">
        <v>313</v>
      </c>
      <c r="N11" s="21"/>
      <c r="O11" s="21"/>
      <c r="P11" s="21"/>
      <c r="Q11" s="21" t="s">
        <v>314</v>
      </c>
      <c r="R11" s="21" t="s">
        <v>20</v>
      </c>
      <c r="S11" s="22">
        <v>23000</v>
      </c>
      <c r="T11" s="23" t="s">
        <v>33</v>
      </c>
    </row>
    <row r="12" spans="1:22" x14ac:dyDescent="0.2">
      <c r="A12" s="1" t="s">
        <v>333</v>
      </c>
      <c r="B12" s="1" t="s">
        <v>334</v>
      </c>
      <c r="C12" s="1" t="s">
        <v>307</v>
      </c>
      <c r="D12" s="21" t="s">
        <v>308</v>
      </c>
      <c r="E12" s="21" t="s">
        <v>309</v>
      </c>
      <c r="F12" s="21"/>
      <c r="G12" s="21"/>
      <c r="H12" s="21" t="s">
        <v>310</v>
      </c>
      <c r="I12" s="21"/>
      <c r="J12" s="21"/>
      <c r="K12" s="21" t="s">
        <v>311</v>
      </c>
      <c r="L12" s="21" t="s">
        <v>312</v>
      </c>
      <c r="M12" s="21" t="s">
        <v>313</v>
      </c>
      <c r="N12" s="21"/>
      <c r="O12" s="21"/>
      <c r="P12" s="21"/>
      <c r="Q12" s="21" t="s">
        <v>314</v>
      </c>
      <c r="R12" s="21" t="s">
        <v>20</v>
      </c>
      <c r="S12" s="22">
        <v>27310</v>
      </c>
      <c r="T12" s="23" t="s">
        <v>33</v>
      </c>
    </row>
    <row r="13" spans="1:22" x14ac:dyDescent="0.2">
      <c r="A13" s="1" t="s">
        <v>335</v>
      </c>
      <c r="B13" s="1" t="s">
        <v>336</v>
      </c>
      <c r="C13" s="1" t="s">
        <v>307</v>
      </c>
      <c r="D13" s="21" t="s">
        <v>308</v>
      </c>
      <c r="E13" s="21" t="s">
        <v>309</v>
      </c>
      <c r="F13" s="21"/>
      <c r="G13" s="21"/>
      <c r="H13" s="21" t="s">
        <v>310</v>
      </c>
      <c r="I13" s="21"/>
      <c r="J13" s="21"/>
      <c r="K13" s="21" t="s">
        <v>311</v>
      </c>
      <c r="L13" s="21" t="s">
        <v>312</v>
      </c>
      <c r="M13" s="21" t="s">
        <v>313</v>
      </c>
      <c r="N13" s="21"/>
      <c r="O13" s="21"/>
      <c r="P13" s="21"/>
      <c r="Q13" s="21" t="s">
        <v>314</v>
      </c>
      <c r="R13" s="21" t="s">
        <v>20</v>
      </c>
      <c r="S13" s="22">
        <v>45000</v>
      </c>
      <c r="T13" s="23" t="s">
        <v>33</v>
      </c>
    </row>
    <row r="14" spans="1:22" x14ac:dyDescent="0.2">
      <c r="A14" s="1" t="s">
        <v>337</v>
      </c>
      <c r="B14" s="1" t="s">
        <v>338</v>
      </c>
      <c r="C14" s="1" t="s">
        <v>307</v>
      </c>
      <c r="D14" s="21" t="s">
        <v>308</v>
      </c>
      <c r="E14" s="21" t="s">
        <v>309</v>
      </c>
      <c r="F14" s="21"/>
      <c r="G14" s="21"/>
      <c r="H14" s="21" t="s">
        <v>310</v>
      </c>
      <c r="I14" s="21"/>
      <c r="J14" s="21"/>
      <c r="K14" s="21" t="s">
        <v>339</v>
      </c>
      <c r="L14" s="21" t="s">
        <v>312</v>
      </c>
      <c r="M14" s="21" t="s">
        <v>313</v>
      </c>
      <c r="N14" s="21"/>
      <c r="O14" s="21"/>
      <c r="P14" s="21"/>
      <c r="Q14" s="21" t="s">
        <v>314</v>
      </c>
      <c r="R14" s="21" t="s">
        <v>20</v>
      </c>
      <c r="S14" s="22" t="s">
        <v>340</v>
      </c>
      <c r="T14" s="23" t="s">
        <v>33</v>
      </c>
    </row>
    <row r="15" spans="1:22" x14ac:dyDescent="0.2">
      <c r="A15" s="1" t="s">
        <v>341</v>
      </c>
      <c r="B15" s="1" t="s">
        <v>342</v>
      </c>
      <c r="C15" s="1" t="s">
        <v>307</v>
      </c>
      <c r="D15" s="21" t="s">
        <v>308</v>
      </c>
      <c r="E15" s="21" t="s">
        <v>309</v>
      </c>
      <c r="F15" s="21"/>
      <c r="G15" s="21"/>
      <c r="H15" s="21" t="s">
        <v>310</v>
      </c>
      <c r="I15" s="21"/>
      <c r="J15" s="21"/>
      <c r="K15" s="21" t="s">
        <v>339</v>
      </c>
      <c r="L15" s="21" t="s">
        <v>312</v>
      </c>
      <c r="M15" s="21" t="s">
        <v>313</v>
      </c>
      <c r="N15" s="21"/>
      <c r="O15" s="21"/>
      <c r="P15" s="21"/>
      <c r="Q15" s="21" t="s">
        <v>314</v>
      </c>
      <c r="R15" s="21" t="s">
        <v>20</v>
      </c>
      <c r="S15" s="22" t="s">
        <v>340</v>
      </c>
      <c r="T15" s="23" t="s">
        <v>33</v>
      </c>
    </row>
    <row r="16" spans="1:22" x14ac:dyDescent="0.2">
      <c r="A16" s="1"/>
      <c r="B16" s="1"/>
      <c r="C16" s="1"/>
      <c r="D16" s="21"/>
      <c r="E16" s="21"/>
      <c r="F16" s="1"/>
      <c r="G16" s="1"/>
      <c r="H16" s="21"/>
      <c r="I16" s="1"/>
      <c r="J16" s="1"/>
      <c r="K16" s="21"/>
      <c r="L16" s="21"/>
      <c r="M16" s="21"/>
      <c r="N16" s="1"/>
      <c r="O16" s="1"/>
      <c r="P16" s="1"/>
      <c r="Q16" s="21"/>
      <c r="R16" s="21"/>
      <c r="S16" s="22"/>
      <c r="T16" s="23"/>
    </row>
    <row r="17" spans="1:20" x14ac:dyDescent="0.2">
      <c r="A17" s="1" t="s">
        <v>344</v>
      </c>
      <c r="B17" s="1" t="s">
        <v>345</v>
      </c>
      <c r="C17" s="1" t="s">
        <v>307</v>
      </c>
      <c r="D17" s="21" t="s">
        <v>308</v>
      </c>
      <c r="E17" s="21" t="s">
        <v>343</v>
      </c>
      <c r="F17" s="1"/>
      <c r="G17" s="1"/>
      <c r="H17" s="21" t="s">
        <v>310</v>
      </c>
      <c r="I17" s="1"/>
      <c r="J17" s="1"/>
      <c r="K17" s="21" t="s">
        <v>311</v>
      </c>
      <c r="L17" s="21" t="s">
        <v>312</v>
      </c>
      <c r="M17" s="21" t="s">
        <v>313</v>
      </c>
      <c r="N17" s="1"/>
      <c r="O17" s="1"/>
      <c r="P17" s="1"/>
      <c r="Q17" s="21" t="s">
        <v>314</v>
      </c>
      <c r="R17" s="21" t="s">
        <v>20</v>
      </c>
      <c r="S17" s="22" t="s">
        <v>340</v>
      </c>
      <c r="T17" s="23" t="s">
        <v>33</v>
      </c>
    </row>
    <row r="18" spans="1:20" x14ac:dyDescent="0.2">
      <c r="A18" s="1"/>
      <c r="B18" s="1"/>
      <c r="C18" s="1"/>
      <c r="D18" s="21"/>
      <c r="E18" s="21"/>
      <c r="F18" s="1"/>
      <c r="G18" s="1"/>
      <c r="H18" s="21"/>
      <c r="I18" s="1"/>
      <c r="J18" s="1"/>
      <c r="K18" s="21"/>
      <c r="L18" s="21"/>
      <c r="M18" s="21"/>
      <c r="N18" s="1"/>
      <c r="O18" s="1"/>
      <c r="P18" s="1"/>
      <c r="Q18" s="21"/>
      <c r="R18" s="21"/>
      <c r="S18" s="22"/>
      <c r="T18" s="23"/>
    </row>
    <row r="19" spans="1:20" x14ac:dyDescent="0.2">
      <c r="A19" s="1"/>
      <c r="B19" s="1"/>
      <c r="C19" s="1"/>
      <c r="D19" s="21"/>
      <c r="E19" s="21"/>
      <c r="F19" s="1"/>
      <c r="G19" s="1"/>
      <c r="H19" s="21"/>
      <c r="I19" s="1"/>
      <c r="J19" s="1"/>
      <c r="K19" s="21"/>
      <c r="L19" s="21"/>
      <c r="M19" s="21"/>
      <c r="N19" s="1"/>
      <c r="O19" s="1"/>
      <c r="P19" s="1"/>
      <c r="Q19" s="21"/>
      <c r="R19" s="21"/>
      <c r="S19" s="22"/>
      <c r="T19" s="23"/>
    </row>
    <row r="20" spans="1:20" x14ac:dyDescent="0.2">
      <c r="A20" s="1" t="s">
        <v>346</v>
      </c>
      <c r="B20" s="1" t="s">
        <v>347</v>
      </c>
      <c r="C20" s="1" t="s">
        <v>307</v>
      </c>
      <c r="D20" s="21" t="s">
        <v>308</v>
      </c>
      <c r="E20" s="21" t="s">
        <v>343</v>
      </c>
      <c r="F20" s="1"/>
      <c r="G20" s="1"/>
      <c r="H20" s="21" t="s">
        <v>310</v>
      </c>
      <c r="I20" s="1"/>
      <c r="J20" s="1"/>
      <c r="K20" s="21" t="s">
        <v>311</v>
      </c>
      <c r="L20" s="21" t="s">
        <v>312</v>
      </c>
      <c r="M20" s="21" t="s">
        <v>313</v>
      </c>
      <c r="N20" s="1"/>
      <c r="O20" s="1"/>
      <c r="P20" s="1"/>
      <c r="Q20" s="21" t="s">
        <v>314</v>
      </c>
      <c r="R20" s="21" t="s">
        <v>20</v>
      </c>
      <c r="S20" s="22">
        <v>2450</v>
      </c>
      <c r="T20" s="23" t="s">
        <v>33</v>
      </c>
    </row>
    <row r="21" spans="1:20" x14ac:dyDescent="0.2">
      <c r="A21" s="1"/>
      <c r="B21" s="1"/>
      <c r="C21" s="1"/>
      <c r="D21" s="21"/>
      <c r="E21" s="21"/>
      <c r="F21" s="1"/>
      <c r="G21" s="1"/>
      <c r="H21" s="21"/>
      <c r="I21" s="1"/>
      <c r="J21" s="1"/>
      <c r="K21" s="21"/>
      <c r="L21" s="21"/>
      <c r="M21" s="21"/>
      <c r="N21" s="1"/>
      <c r="O21" s="1"/>
      <c r="P21" s="1"/>
      <c r="Q21" s="21"/>
      <c r="R21" s="21"/>
      <c r="S21" s="22"/>
      <c r="T21" s="23"/>
    </row>
    <row r="22" spans="1:20" x14ac:dyDescent="0.2">
      <c r="A22" s="1"/>
      <c r="B22" s="1"/>
      <c r="C22" s="1"/>
      <c r="D22" s="21"/>
      <c r="E22" s="21"/>
      <c r="F22" s="1"/>
      <c r="G22" s="1"/>
      <c r="H22" s="21"/>
      <c r="I22" s="1"/>
      <c r="J22" s="1"/>
      <c r="K22" s="21"/>
      <c r="L22" s="21"/>
      <c r="M22" s="21"/>
      <c r="N22" s="1"/>
      <c r="O22" s="1"/>
      <c r="P22" s="1"/>
      <c r="Q22" s="21"/>
      <c r="R22" s="21"/>
      <c r="S22" s="22"/>
      <c r="T22" s="23"/>
    </row>
    <row r="23" spans="1:20" x14ac:dyDescent="0.2">
      <c r="A23" s="1" t="s">
        <v>348</v>
      </c>
      <c r="B23" s="1" t="s">
        <v>349</v>
      </c>
      <c r="C23" s="1" t="s">
        <v>307</v>
      </c>
      <c r="D23" s="21" t="s">
        <v>308</v>
      </c>
      <c r="E23" s="21" t="s">
        <v>343</v>
      </c>
      <c r="F23" s="1"/>
      <c r="G23" s="1"/>
      <c r="H23" s="21" t="s">
        <v>310</v>
      </c>
      <c r="I23" s="1"/>
      <c r="J23" s="1"/>
      <c r="K23" s="21" t="s">
        <v>311</v>
      </c>
      <c r="L23" s="21" t="s">
        <v>312</v>
      </c>
      <c r="M23" s="21" t="s">
        <v>313</v>
      </c>
      <c r="N23" s="1"/>
      <c r="O23" s="1"/>
      <c r="P23" s="1"/>
      <c r="Q23" s="21" t="s">
        <v>314</v>
      </c>
      <c r="R23" s="21" t="s">
        <v>20</v>
      </c>
      <c r="S23" s="22">
        <v>3150</v>
      </c>
      <c r="T23" s="23" t="s">
        <v>33</v>
      </c>
    </row>
    <row r="24" spans="1:20" x14ac:dyDescent="0.2">
      <c r="A24" s="1"/>
      <c r="B24" s="1"/>
      <c r="C24" s="1"/>
      <c r="D24" s="21"/>
      <c r="E24" s="21"/>
      <c r="F24" s="1"/>
      <c r="G24" s="1"/>
      <c r="H24" s="21"/>
      <c r="I24" s="1"/>
      <c r="J24" s="1"/>
      <c r="K24" s="21"/>
      <c r="L24" s="21"/>
      <c r="M24" s="21"/>
      <c r="N24" s="1"/>
      <c r="O24" s="1"/>
      <c r="P24" s="1"/>
      <c r="Q24" s="21"/>
      <c r="R24" s="21"/>
      <c r="S24" s="22"/>
      <c r="T24" s="23"/>
    </row>
    <row r="25" spans="1:20" x14ac:dyDescent="0.2">
      <c r="A25" s="1"/>
      <c r="B25" s="1"/>
      <c r="C25" s="1"/>
      <c r="D25" s="21"/>
      <c r="E25" s="21"/>
      <c r="F25" s="1"/>
      <c r="G25" s="1"/>
      <c r="H25" s="21"/>
      <c r="I25" s="1"/>
      <c r="J25" s="1"/>
      <c r="K25" s="21"/>
      <c r="L25" s="21"/>
      <c r="M25" s="21"/>
      <c r="N25" s="1"/>
      <c r="O25" s="1"/>
      <c r="P25" s="1"/>
      <c r="Q25" s="21"/>
      <c r="R25" s="21"/>
      <c r="S25" s="22"/>
      <c r="T25" s="23"/>
    </row>
    <row r="26" spans="1:20" x14ac:dyDescent="0.2">
      <c r="A26" s="1" t="s">
        <v>350</v>
      </c>
      <c r="B26" s="1" t="s">
        <v>351</v>
      </c>
      <c r="C26" s="1" t="s">
        <v>307</v>
      </c>
      <c r="D26" s="21" t="s">
        <v>308</v>
      </c>
      <c r="E26" s="21" t="s">
        <v>343</v>
      </c>
      <c r="F26" s="1"/>
      <c r="G26" s="1"/>
      <c r="H26" s="21" t="s">
        <v>310</v>
      </c>
      <c r="I26" s="1"/>
      <c r="J26" s="1"/>
      <c r="K26" s="21" t="s">
        <v>311</v>
      </c>
      <c r="L26" s="21" t="s">
        <v>312</v>
      </c>
      <c r="M26" s="21" t="s">
        <v>313</v>
      </c>
      <c r="N26" s="1"/>
      <c r="O26" s="1"/>
      <c r="P26" s="1"/>
      <c r="Q26" s="21" t="s">
        <v>314</v>
      </c>
      <c r="R26" s="21" t="s">
        <v>20</v>
      </c>
      <c r="S26" s="22">
        <v>3570</v>
      </c>
      <c r="T26" s="23" t="s">
        <v>33</v>
      </c>
    </row>
    <row r="27" spans="1:20" x14ac:dyDescent="0.2">
      <c r="A27" s="1"/>
      <c r="B27" s="1"/>
      <c r="C27" s="1"/>
      <c r="D27" s="21"/>
      <c r="E27" s="21"/>
      <c r="F27" s="1"/>
      <c r="G27" s="1"/>
      <c r="H27" s="21"/>
      <c r="I27" s="1"/>
      <c r="J27" s="1"/>
      <c r="K27" s="21"/>
      <c r="L27" s="21"/>
      <c r="M27" s="21"/>
      <c r="N27" s="1"/>
      <c r="O27" s="1"/>
      <c r="P27" s="1"/>
      <c r="Q27" s="21"/>
      <c r="R27" s="21"/>
      <c r="S27" s="22"/>
      <c r="T27" s="23"/>
    </row>
    <row r="28" spans="1:20" x14ac:dyDescent="0.2">
      <c r="A28" s="1"/>
      <c r="B28" s="1"/>
      <c r="C28" s="1"/>
      <c r="D28" s="21"/>
      <c r="E28" s="21"/>
      <c r="F28" s="1"/>
      <c r="G28" s="1"/>
      <c r="H28" s="21"/>
      <c r="I28" s="1"/>
      <c r="J28" s="1"/>
      <c r="K28" s="21"/>
      <c r="L28" s="21"/>
      <c r="M28" s="21"/>
      <c r="N28" s="1"/>
      <c r="O28" s="1"/>
      <c r="P28" s="1"/>
      <c r="Q28" s="21"/>
      <c r="R28" s="21"/>
      <c r="S28" s="22"/>
      <c r="T28" s="23"/>
    </row>
    <row r="29" spans="1:20" x14ac:dyDescent="0.2">
      <c r="A29" s="1" t="s">
        <v>352</v>
      </c>
      <c r="B29" s="1" t="s">
        <v>353</v>
      </c>
      <c r="C29" s="1" t="s">
        <v>307</v>
      </c>
      <c r="D29" s="21" t="s">
        <v>308</v>
      </c>
      <c r="E29" s="21" t="s">
        <v>343</v>
      </c>
      <c r="F29" s="1"/>
      <c r="G29" s="1"/>
      <c r="H29" s="21" t="s">
        <v>310</v>
      </c>
      <c r="I29" s="1"/>
      <c r="J29" s="1"/>
      <c r="K29" s="21" t="s">
        <v>311</v>
      </c>
      <c r="L29" s="21" t="s">
        <v>312</v>
      </c>
      <c r="M29" s="21" t="s">
        <v>313</v>
      </c>
      <c r="N29" s="1"/>
      <c r="O29" s="1"/>
      <c r="P29" s="1"/>
      <c r="Q29" s="21" t="s">
        <v>314</v>
      </c>
      <c r="R29" s="21" t="s">
        <v>20</v>
      </c>
      <c r="S29" s="22">
        <v>5050</v>
      </c>
      <c r="T29" s="23" t="s">
        <v>33</v>
      </c>
    </row>
    <row r="30" spans="1:20" x14ac:dyDescent="0.2">
      <c r="A30" s="1"/>
      <c r="B30" s="1"/>
      <c r="C30" s="1"/>
      <c r="D30" s="21"/>
      <c r="E30" s="21"/>
      <c r="F30" s="1"/>
      <c r="G30" s="1"/>
      <c r="H30" s="21"/>
      <c r="I30" s="1"/>
      <c r="J30" s="1"/>
      <c r="K30" s="21"/>
      <c r="L30" s="21"/>
      <c r="M30" s="21"/>
      <c r="N30" s="1"/>
      <c r="O30" s="1"/>
      <c r="P30" s="1"/>
      <c r="Q30" s="21"/>
      <c r="R30" s="21"/>
      <c r="S30" s="22"/>
      <c r="T30" s="23"/>
    </row>
    <row r="31" spans="1:20" x14ac:dyDescent="0.2">
      <c r="A31" s="1"/>
      <c r="B31" s="1"/>
      <c r="C31" s="1"/>
      <c r="D31" s="21"/>
      <c r="E31" s="21"/>
      <c r="F31" s="1"/>
      <c r="G31" s="1"/>
      <c r="H31" s="21"/>
      <c r="I31" s="1"/>
      <c r="J31" s="1"/>
      <c r="K31" s="21"/>
      <c r="L31" s="21"/>
      <c r="M31" s="21"/>
      <c r="N31" s="1"/>
      <c r="O31" s="1"/>
      <c r="P31" s="1"/>
      <c r="Q31" s="21"/>
      <c r="R31" s="21"/>
      <c r="S31" s="22"/>
      <c r="T31" s="23"/>
    </row>
    <row r="32" spans="1:20" x14ac:dyDescent="0.2">
      <c r="A32" s="1" t="s">
        <v>354</v>
      </c>
      <c r="B32" s="1" t="s">
        <v>355</v>
      </c>
      <c r="C32" s="1" t="s">
        <v>307</v>
      </c>
      <c r="D32" s="21" t="s">
        <v>308</v>
      </c>
      <c r="E32" s="21" t="s">
        <v>343</v>
      </c>
      <c r="F32" s="1"/>
      <c r="G32" s="1"/>
      <c r="H32" s="21" t="s">
        <v>310</v>
      </c>
      <c r="I32" s="1"/>
      <c r="J32" s="1"/>
      <c r="K32" s="21" t="s">
        <v>311</v>
      </c>
      <c r="L32" s="21" t="s">
        <v>312</v>
      </c>
      <c r="M32" s="21" t="s">
        <v>313</v>
      </c>
      <c r="N32" s="1"/>
      <c r="O32" s="1"/>
      <c r="P32" s="1"/>
      <c r="Q32" s="21" t="s">
        <v>314</v>
      </c>
      <c r="R32" s="21" t="s">
        <v>20</v>
      </c>
      <c r="S32" s="22">
        <v>6650</v>
      </c>
      <c r="T32" s="23" t="s">
        <v>33</v>
      </c>
    </row>
    <row r="33" spans="1:20" x14ac:dyDescent="0.2">
      <c r="A33" s="1"/>
      <c r="B33" s="1"/>
      <c r="C33" s="1"/>
      <c r="D33" s="21"/>
      <c r="E33" s="21"/>
      <c r="F33" s="1"/>
      <c r="G33" s="1"/>
      <c r="H33" s="21"/>
      <c r="I33" s="1"/>
      <c r="J33" s="1"/>
      <c r="K33" s="21"/>
      <c r="L33" s="21"/>
      <c r="M33" s="21"/>
      <c r="N33" s="1"/>
      <c r="O33" s="1"/>
      <c r="P33" s="1"/>
      <c r="Q33" s="21"/>
      <c r="R33" s="21"/>
      <c r="S33" s="22"/>
      <c r="T33" s="23"/>
    </row>
    <row r="34" spans="1:20" x14ac:dyDescent="0.2">
      <c r="A34" s="1"/>
      <c r="B34" s="1"/>
      <c r="C34" s="1"/>
      <c r="D34" s="21"/>
      <c r="E34" s="21"/>
      <c r="F34" s="1"/>
      <c r="G34" s="1"/>
      <c r="H34" s="21"/>
      <c r="I34" s="1"/>
      <c r="J34" s="1"/>
      <c r="K34" s="21"/>
      <c r="L34" s="21"/>
      <c r="M34" s="21"/>
      <c r="N34" s="1"/>
      <c r="O34" s="1"/>
      <c r="P34" s="1"/>
      <c r="Q34" s="21"/>
      <c r="R34" s="21"/>
      <c r="S34" s="22"/>
      <c r="T34" s="23"/>
    </row>
    <row r="35" spans="1:20" x14ac:dyDescent="0.2">
      <c r="A35" s="1" t="s">
        <v>356</v>
      </c>
      <c r="B35" s="1" t="s">
        <v>357</v>
      </c>
      <c r="C35" s="1" t="s">
        <v>307</v>
      </c>
      <c r="D35" s="21" t="s">
        <v>308</v>
      </c>
      <c r="E35" s="21" t="s">
        <v>343</v>
      </c>
      <c r="F35" s="1"/>
      <c r="G35" s="1"/>
      <c r="H35" s="21" t="s">
        <v>310</v>
      </c>
      <c r="I35" s="1"/>
      <c r="J35" s="1"/>
      <c r="K35" s="21" t="s">
        <v>311</v>
      </c>
      <c r="L35" s="21" t="s">
        <v>312</v>
      </c>
      <c r="M35" s="21" t="s">
        <v>313</v>
      </c>
      <c r="N35" s="1"/>
      <c r="O35" s="1"/>
      <c r="P35" s="1"/>
      <c r="Q35" s="21" t="s">
        <v>314</v>
      </c>
      <c r="R35" s="21" t="s">
        <v>20</v>
      </c>
      <c r="S35" s="22">
        <v>8300</v>
      </c>
      <c r="T35" s="23" t="s">
        <v>33</v>
      </c>
    </row>
    <row r="36" spans="1:20" x14ac:dyDescent="0.2">
      <c r="A36" s="1"/>
      <c r="B36" s="1"/>
      <c r="C36" s="1"/>
      <c r="D36" s="21"/>
      <c r="E36" s="21"/>
      <c r="F36" s="1"/>
      <c r="G36" s="1"/>
      <c r="H36" s="21"/>
      <c r="I36" s="1"/>
      <c r="J36" s="1"/>
      <c r="K36" s="21"/>
      <c r="L36" s="21"/>
      <c r="M36" s="21"/>
      <c r="N36" s="1"/>
      <c r="O36" s="1"/>
      <c r="P36" s="1"/>
      <c r="Q36" s="21"/>
      <c r="R36" s="21"/>
      <c r="S36" s="22"/>
      <c r="T36" s="23"/>
    </row>
    <row r="37" spans="1:20" x14ac:dyDescent="0.2">
      <c r="A37" s="1"/>
      <c r="B37" s="1"/>
      <c r="C37" s="1"/>
      <c r="D37" s="21"/>
      <c r="E37" s="21"/>
      <c r="F37" s="1"/>
      <c r="G37" s="1"/>
      <c r="H37" s="21"/>
      <c r="I37" s="1"/>
      <c r="J37" s="1"/>
      <c r="K37" s="21"/>
      <c r="L37" s="21"/>
      <c r="M37" s="21"/>
      <c r="N37" s="1"/>
      <c r="O37" s="1"/>
      <c r="P37" s="1"/>
      <c r="Q37" s="21"/>
      <c r="R37" s="21"/>
      <c r="S37" s="22"/>
      <c r="T37" s="23"/>
    </row>
    <row r="38" spans="1:20" x14ac:dyDescent="0.2">
      <c r="A38" s="1" t="s">
        <v>358</v>
      </c>
      <c r="B38" s="1" t="s">
        <v>359</v>
      </c>
      <c r="C38" s="1" t="s">
        <v>307</v>
      </c>
      <c r="D38" s="21" t="s">
        <v>308</v>
      </c>
      <c r="E38" s="21" t="s">
        <v>343</v>
      </c>
      <c r="F38" s="1"/>
      <c r="G38" s="1"/>
      <c r="H38" s="21" t="s">
        <v>310</v>
      </c>
      <c r="I38" s="1"/>
      <c r="J38" s="1"/>
      <c r="K38" s="21" t="s">
        <v>311</v>
      </c>
      <c r="L38" s="21" t="s">
        <v>312</v>
      </c>
      <c r="M38" s="21" t="s">
        <v>313</v>
      </c>
      <c r="N38" s="1"/>
      <c r="O38" s="1"/>
      <c r="P38" s="1"/>
      <c r="Q38" s="21" t="s">
        <v>314</v>
      </c>
      <c r="R38" s="21" t="s">
        <v>20</v>
      </c>
      <c r="S38" s="22">
        <v>12220</v>
      </c>
      <c r="T38" s="23" t="s">
        <v>33</v>
      </c>
    </row>
    <row r="39" spans="1:20" x14ac:dyDescent="0.2">
      <c r="A39" s="1"/>
      <c r="B39" s="1"/>
      <c r="C39" s="1"/>
      <c r="D39" s="21"/>
      <c r="E39" s="21"/>
      <c r="F39" s="1"/>
      <c r="G39" s="1"/>
      <c r="H39" s="21"/>
      <c r="I39" s="1"/>
      <c r="J39" s="1"/>
      <c r="K39" s="21"/>
      <c r="L39" s="21"/>
      <c r="M39" s="21"/>
      <c r="N39" s="1"/>
      <c r="O39" s="1"/>
      <c r="P39" s="1"/>
      <c r="Q39" s="21"/>
      <c r="R39" s="21"/>
      <c r="S39" s="22"/>
      <c r="T39" s="23"/>
    </row>
    <row r="40" spans="1:20" x14ac:dyDescent="0.2">
      <c r="A40" s="1"/>
      <c r="B40" s="1"/>
      <c r="C40" s="1"/>
      <c r="D40" s="21"/>
      <c r="E40" s="21"/>
      <c r="F40" s="1"/>
      <c r="G40" s="1"/>
      <c r="H40" s="21"/>
      <c r="I40" s="1"/>
      <c r="J40" s="1"/>
      <c r="K40" s="21"/>
      <c r="L40" s="21"/>
      <c r="M40" s="21"/>
      <c r="N40" s="1"/>
      <c r="O40" s="1"/>
      <c r="P40" s="1"/>
      <c r="Q40" s="21"/>
      <c r="R40" s="21"/>
      <c r="S40" s="22"/>
      <c r="T40" s="23"/>
    </row>
    <row r="41" spans="1:20" x14ac:dyDescent="0.2">
      <c r="A41" s="1" t="s">
        <v>360</v>
      </c>
      <c r="B41" s="1" t="s">
        <v>361</v>
      </c>
      <c r="C41" s="1" t="s">
        <v>307</v>
      </c>
      <c r="D41" s="21" t="s">
        <v>308</v>
      </c>
      <c r="E41" s="21" t="s">
        <v>343</v>
      </c>
      <c r="F41" s="1"/>
      <c r="G41" s="1"/>
      <c r="H41" s="21" t="s">
        <v>310</v>
      </c>
      <c r="I41" s="1"/>
      <c r="J41" s="1"/>
      <c r="K41" s="21" t="s">
        <v>311</v>
      </c>
      <c r="L41" s="21" t="s">
        <v>312</v>
      </c>
      <c r="M41" s="21" t="s">
        <v>313</v>
      </c>
      <c r="N41" s="1"/>
      <c r="O41" s="1"/>
      <c r="P41" s="1"/>
      <c r="Q41" s="21" t="s">
        <v>314</v>
      </c>
      <c r="R41" s="21" t="s">
        <v>20</v>
      </c>
      <c r="S41" s="22">
        <v>21030</v>
      </c>
      <c r="T41" s="23" t="s">
        <v>33</v>
      </c>
    </row>
    <row r="42" spans="1:20" x14ac:dyDescent="0.2">
      <c r="A42" s="1"/>
      <c r="B42" s="1"/>
      <c r="C42" s="1"/>
      <c r="D42" s="21"/>
      <c r="E42" s="21"/>
      <c r="F42" s="1"/>
      <c r="G42" s="1"/>
      <c r="H42" s="21"/>
      <c r="I42" s="1"/>
      <c r="J42" s="1"/>
      <c r="K42" s="21"/>
      <c r="L42" s="21"/>
      <c r="M42" s="21"/>
      <c r="N42" s="1"/>
      <c r="O42" s="1"/>
      <c r="P42" s="1"/>
      <c r="Q42" s="21"/>
      <c r="R42" s="21"/>
      <c r="S42" s="22"/>
      <c r="T42" s="23"/>
    </row>
    <row r="43" spans="1:20" x14ac:dyDescent="0.2">
      <c r="A43" s="1"/>
      <c r="B43" s="1"/>
      <c r="C43" s="1"/>
      <c r="D43" s="21"/>
      <c r="E43" s="21"/>
      <c r="F43" s="1"/>
      <c r="G43" s="1"/>
      <c r="H43" s="21"/>
      <c r="I43" s="1"/>
      <c r="J43" s="1"/>
      <c r="K43" s="21"/>
      <c r="L43" s="21"/>
      <c r="M43" s="21"/>
      <c r="N43" s="1"/>
      <c r="O43" s="1"/>
      <c r="P43" s="1"/>
      <c r="Q43" s="21"/>
      <c r="R43" s="21"/>
      <c r="S43" s="22"/>
      <c r="T43" s="23"/>
    </row>
    <row r="44" spans="1:20" x14ac:dyDescent="0.2">
      <c r="A44" s="1" t="s">
        <v>362</v>
      </c>
      <c r="B44" s="1" t="s">
        <v>363</v>
      </c>
      <c r="C44" s="1" t="s">
        <v>307</v>
      </c>
      <c r="D44" s="21" t="s">
        <v>308</v>
      </c>
      <c r="E44" s="21" t="s">
        <v>343</v>
      </c>
      <c r="F44" s="1"/>
      <c r="G44" s="1"/>
      <c r="H44" s="21" t="s">
        <v>310</v>
      </c>
      <c r="I44" s="1"/>
      <c r="J44" s="1"/>
      <c r="K44" s="21" t="s">
        <v>311</v>
      </c>
      <c r="L44" s="21" t="s">
        <v>312</v>
      </c>
      <c r="M44" s="21" t="s">
        <v>313</v>
      </c>
      <c r="N44" s="1"/>
      <c r="O44" s="1"/>
      <c r="P44" s="1"/>
      <c r="Q44" s="21" t="s">
        <v>314</v>
      </c>
      <c r="R44" s="21" t="s">
        <v>20</v>
      </c>
      <c r="S44" s="22">
        <v>22320</v>
      </c>
      <c r="T44" s="23" t="s">
        <v>33</v>
      </c>
    </row>
    <row r="45" spans="1:20" x14ac:dyDescent="0.2">
      <c r="A45" s="1"/>
      <c r="B45" s="1"/>
      <c r="C45" s="1"/>
      <c r="D45" s="21"/>
      <c r="E45" s="21"/>
      <c r="F45" s="1"/>
      <c r="G45" s="1"/>
      <c r="H45" s="21"/>
      <c r="I45" s="1"/>
      <c r="J45" s="1"/>
      <c r="K45" s="21"/>
      <c r="L45" s="21"/>
      <c r="M45" s="21"/>
      <c r="N45" s="1"/>
      <c r="O45" s="1"/>
      <c r="P45" s="1"/>
      <c r="Q45" s="21"/>
      <c r="R45" s="21"/>
      <c r="S45" s="22"/>
      <c r="T45" s="23"/>
    </row>
    <row r="46" spans="1:20" x14ac:dyDescent="0.2">
      <c r="A46" s="1"/>
      <c r="B46" s="1"/>
      <c r="C46" s="1"/>
      <c r="D46" s="21"/>
      <c r="E46" s="21"/>
      <c r="F46" s="1"/>
      <c r="G46" s="1"/>
      <c r="H46" s="21"/>
      <c r="I46" s="1"/>
      <c r="J46" s="1"/>
      <c r="K46" s="21"/>
      <c r="L46" s="21"/>
      <c r="M46" s="21"/>
      <c r="N46" s="1"/>
      <c r="O46" s="1"/>
      <c r="P46" s="1"/>
      <c r="Q46" s="21"/>
      <c r="R46" s="21"/>
      <c r="S46" s="22"/>
      <c r="T46" s="23"/>
    </row>
    <row r="47" spans="1:20" x14ac:dyDescent="0.2">
      <c r="A47" s="1" t="s">
        <v>364</v>
      </c>
      <c r="B47" s="1" t="s">
        <v>365</v>
      </c>
      <c r="C47" s="1" t="s">
        <v>307</v>
      </c>
      <c r="D47" s="21" t="s">
        <v>308</v>
      </c>
      <c r="E47" s="21" t="s">
        <v>343</v>
      </c>
      <c r="F47" s="1"/>
      <c r="G47" s="1"/>
      <c r="H47" s="21" t="s">
        <v>310</v>
      </c>
      <c r="I47" s="1"/>
      <c r="J47" s="1"/>
      <c r="K47" s="21" t="s">
        <v>311</v>
      </c>
      <c r="L47" s="21" t="s">
        <v>312</v>
      </c>
      <c r="M47" s="21" t="s">
        <v>313</v>
      </c>
      <c r="N47" s="1"/>
      <c r="O47" s="1"/>
      <c r="P47" s="1"/>
      <c r="Q47" s="21" t="s">
        <v>314</v>
      </c>
      <c r="R47" s="21" t="s">
        <v>20</v>
      </c>
      <c r="S47" s="22">
        <v>31500</v>
      </c>
      <c r="T47" s="23" t="s">
        <v>33</v>
      </c>
    </row>
    <row r="48" spans="1:20" x14ac:dyDescent="0.2">
      <c r="A48" s="1"/>
      <c r="B48" s="1"/>
      <c r="C48" s="1"/>
      <c r="D48" s="21"/>
      <c r="E48" s="21"/>
      <c r="F48" s="1"/>
      <c r="G48" s="1"/>
      <c r="H48" s="21"/>
      <c r="I48" s="1"/>
      <c r="J48" s="1"/>
      <c r="K48" s="21"/>
      <c r="L48" s="21"/>
      <c r="M48" s="21"/>
      <c r="N48" s="1"/>
      <c r="O48" s="1"/>
      <c r="P48" s="1"/>
      <c r="Q48" s="21"/>
      <c r="R48" s="21"/>
      <c r="S48" s="22"/>
      <c r="T48" s="23"/>
    </row>
    <row r="49" spans="1:20" x14ac:dyDescent="0.2">
      <c r="A49" s="1"/>
      <c r="B49" s="1"/>
      <c r="C49" s="1"/>
      <c r="D49" s="21"/>
      <c r="E49" s="21"/>
      <c r="F49" s="1"/>
      <c r="G49" s="1"/>
      <c r="H49" s="21"/>
      <c r="I49" s="1"/>
      <c r="J49" s="1"/>
      <c r="K49" s="21"/>
      <c r="L49" s="21"/>
      <c r="M49" s="21"/>
      <c r="N49" s="1"/>
      <c r="O49" s="1"/>
      <c r="P49" s="1"/>
      <c r="Q49" s="21"/>
      <c r="R49" s="21"/>
      <c r="S49" s="22"/>
      <c r="T49" s="23"/>
    </row>
    <row r="50" spans="1:20" x14ac:dyDescent="0.2">
      <c r="A50" s="1" t="s">
        <v>366</v>
      </c>
      <c r="B50" s="1" t="s">
        <v>367</v>
      </c>
      <c r="C50" s="1" t="s">
        <v>307</v>
      </c>
      <c r="D50" s="21" t="s">
        <v>308</v>
      </c>
      <c r="E50" s="21" t="s">
        <v>343</v>
      </c>
      <c r="F50" s="1"/>
      <c r="G50" s="1"/>
      <c r="H50" s="21" t="s">
        <v>310</v>
      </c>
      <c r="I50" s="1"/>
      <c r="J50" s="1"/>
      <c r="K50" s="21" t="s">
        <v>311</v>
      </c>
      <c r="L50" s="21" t="s">
        <v>312</v>
      </c>
      <c r="M50" s="21" t="s">
        <v>313</v>
      </c>
      <c r="N50" s="1"/>
      <c r="O50" s="1"/>
      <c r="P50" s="1"/>
      <c r="Q50" s="21" t="s">
        <v>314</v>
      </c>
      <c r="R50" s="21" t="s">
        <v>20</v>
      </c>
      <c r="S50" s="22">
        <v>42720</v>
      </c>
      <c r="T50" s="23" t="s">
        <v>33</v>
      </c>
    </row>
    <row r="51" spans="1:20" x14ac:dyDescent="0.2">
      <c r="A51" s="1"/>
      <c r="B51" s="1"/>
      <c r="C51" s="1"/>
      <c r="D51" s="21"/>
      <c r="E51" s="21"/>
      <c r="F51" s="1"/>
      <c r="G51" s="1"/>
      <c r="H51" s="21"/>
      <c r="I51" s="1"/>
      <c r="J51" s="1"/>
      <c r="K51" s="21"/>
      <c r="L51" s="21"/>
      <c r="M51" s="21"/>
      <c r="N51" s="1"/>
      <c r="O51" s="1"/>
      <c r="P51" s="1"/>
      <c r="Q51" s="21"/>
      <c r="R51" s="21"/>
      <c r="S51" s="22"/>
      <c r="T51" s="23"/>
    </row>
    <row r="52" spans="1:20" x14ac:dyDescent="0.2">
      <c r="A52" s="1"/>
      <c r="B52" s="1"/>
      <c r="C52" s="1"/>
      <c r="D52" s="21"/>
      <c r="E52" s="21"/>
      <c r="F52" s="1"/>
      <c r="G52" s="1"/>
      <c r="H52" s="21"/>
      <c r="I52" s="1"/>
      <c r="J52" s="1"/>
      <c r="K52" s="21"/>
      <c r="L52" s="21"/>
      <c r="M52" s="21"/>
      <c r="N52" s="1"/>
      <c r="O52" s="1"/>
      <c r="P52" s="1"/>
      <c r="Q52" s="21"/>
      <c r="R52" s="21"/>
      <c r="S52" s="22"/>
      <c r="T52" s="23"/>
    </row>
    <row r="53" spans="1:20" x14ac:dyDescent="0.2">
      <c r="A53" s="1" t="s">
        <v>368</v>
      </c>
      <c r="B53" s="1" t="s">
        <v>369</v>
      </c>
      <c r="C53" s="1" t="s">
        <v>307</v>
      </c>
      <c r="D53" s="21" t="s">
        <v>308</v>
      </c>
      <c r="E53" s="21" t="s">
        <v>343</v>
      </c>
      <c r="F53" s="1"/>
      <c r="G53" s="1"/>
      <c r="H53" s="21" t="s">
        <v>310</v>
      </c>
      <c r="I53" s="1"/>
      <c r="J53" s="1"/>
      <c r="K53" s="21" t="s">
        <v>339</v>
      </c>
      <c r="L53" s="21" t="s">
        <v>312</v>
      </c>
      <c r="M53" s="21" t="s">
        <v>313</v>
      </c>
      <c r="N53" s="1"/>
      <c r="O53" s="1"/>
      <c r="P53" s="1"/>
      <c r="Q53" s="21" t="s">
        <v>314</v>
      </c>
      <c r="R53" s="21" t="s">
        <v>20</v>
      </c>
      <c r="S53" s="22">
        <v>75200</v>
      </c>
      <c r="T53" s="23" t="s">
        <v>33</v>
      </c>
    </row>
    <row r="54" spans="1:20" x14ac:dyDescent="0.2">
      <c r="A54" s="1"/>
      <c r="B54" s="1"/>
      <c r="C54" s="1"/>
      <c r="D54" s="21"/>
      <c r="E54" s="21"/>
      <c r="F54" s="1"/>
      <c r="G54" s="1"/>
      <c r="H54" s="21"/>
      <c r="I54" s="1"/>
      <c r="J54" s="1"/>
      <c r="K54" s="21"/>
      <c r="L54" s="21"/>
      <c r="M54" s="21"/>
      <c r="N54" s="1"/>
      <c r="O54" s="1"/>
      <c r="P54" s="1"/>
      <c r="Q54" s="21"/>
      <c r="R54" s="21"/>
      <c r="S54" s="22"/>
      <c r="T54" s="23"/>
    </row>
    <row r="55" spans="1:20" x14ac:dyDescent="0.2">
      <c r="A55" s="1"/>
      <c r="B55" s="1"/>
      <c r="C55" s="1"/>
      <c r="D55" s="21"/>
      <c r="E55" s="21"/>
      <c r="F55" s="1"/>
      <c r="G55" s="1"/>
      <c r="H55" s="21"/>
      <c r="I55" s="1"/>
      <c r="J55" s="1"/>
      <c r="K55" s="21"/>
      <c r="L55" s="21"/>
      <c r="M55" s="21"/>
      <c r="N55" s="1"/>
      <c r="O55" s="1"/>
      <c r="P55" s="1"/>
      <c r="Q55" s="21"/>
      <c r="R55" s="21"/>
      <c r="S55" s="22"/>
      <c r="T55" s="23"/>
    </row>
    <row r="56" spans="1:20" x14ac:dyDescent="0.2">
      <c r="A56" s="1" t="s">
        <v>370</v>
      </c>
      <c r="B56" s="1" t="s">
        <v>371</v>
      </c>
      <c r="C56" s="1" t="s">
        <v>307</v>
      </c>
      <c r="D56" s="21" t="s">
        <v>308</v>
      </c>
      <c r="E56" s="21" t="s">
        <v>343</v>
      </c>
      <c r="F56" s="1"/>
      <c r="G56" s="1"/>
      <c r="H56" s="21" t="s">
        <v>310</v>
      </c>
      <c r="I56" s="1"/>
      <c r="J56" s="1"/>
      <c r="K56" s="21" t="s">
        <v>339</v>
      </c>
      <c r="L56" s="21" t="s">
        <v>312</v>
      </c>
      <c r="M56" s="21" t="s">
        <v>313</v>
      </c>
      <c r="N56" s="1"/>
      <c r="O56" s="1"/>
      <c r="P56" s="1"/>
      <c r="Q56" s="21" t="s">
        <v>314</v>
      </c>
      <c r="R56" s="21" t="s">
        <v>20</v>
      </c>
      <c r="S56" s="22" t="s">
        <v>340</v>
      </c>
      <c r="T56" s="23" t="s">
        <v>33</v>
      </c>
    </row>
    <row r="57" spans="1:20" x14ac:dyDescent="0.2">
      <c r="A57" s="1"/>
      <c r="B57" s="1"/>
      <c r="C57" s="1"/>
      <c r="D57" s="21"/>
      <c r="E57" s="21"/>
      <c r="F57" s="1"/>
      <c r="G57" s="1"/>
      <c r="H57" s="21"/>
      <c r="I57" s="1"/>
      <c r="J57" s="1"/>
      <c r="K57" s="21"/>
      <c r="L57" s="21"/>
      <c r="M57" s="21"/>
      <c r="N57" s="1"/>
      <c r="O57" s="1"/>
      <c r="P57" s="1"/>
      <c r="Q57" s="21"/>
      <c r="R57" s="21"/>
      <c r="S57" s="22"/>
      <c r="T57" s="23"/>
    </row>
    <row r="58" spans="1:20" x14ac:dyDescent="0.2">
      <c r="A58" s="1"/>
      <c r="B58" s="1"/>
      <c r="C58" s="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2"/>
      <c r="T58" s="23"/>
    </row>
    <row r="59" spans="1:20" x14ac:dyDescent="0.2">
      <c r="A59" s="1"/>
      <c r="B59" s="1"/>
      <c r="C59" s="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2"/>
      <c r="T59" s="23"/>
    </row>
    <row r="60" spans="1:20" x14ac:dyDescent="0.2">
      <c r="A60" s="1"/>
      <c r="B60" s="1"/>
      <c r="C60" s="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2"/>
      <c r="T60" s="23"/>
    </row>
    <row r="61" spans="1:20" x14ac:dyDescent="0.2">
      <c r="A61" s="1"/>
      <c r="B61" s="1"/>
      <c r="C61" s="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2"/>
      <c r="T61" s="23"/>
    </row>
    <row r="62" spans="1:20" x14ac:dyDescent="0.2">
      <c r="A62" s="1"/>
      <c r="B62" s="1"/>
      <c r="C62" s="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2"/>
      <c r="T62" s="23"/>
    </row>
    <row r="63" spans="1:20" x14ac:dyDescent="0.2">
      <c r="A63" s="1"/>
      <c r="B63" s="1"/>
      <c r="C63" s="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2"/>
      <c r="T63" s="23"/>
    </row>
    <row r="64" spans="1:20" x14ac:dyDescent="0.2">
      <c r="A64" s="1"/>
      <c r="B64" s="1"/>
      <c r="C64" s="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2"/>
      <c r="T64" s="23"/>
    </row>
    <row r="65" spans="1:20" x14ac:dyDescent="0.2">
      <c r="A65" s="1"/>
      <c r="B65" s="1"/>
      <c r="C65" s="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2"/>
      <c r="T65" s="23"/>
    </row>
    <row r="66" spans="1:20" x14ac:dyDescent="0.2">
      <c r="A66" s="1"/>
      <c r="B66" s="1"/>
      <c r="C66" s="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2"/>
      <c r="T66" s="23"/>
    </row>
    <row r="67" spans="1:20" x14ac:dyDescent="0.2">
      <c r="A67" s="1"/>
      <c r="B67" s="1"/>
      <c r="C67" s="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2"/>
      <c r="T67" s="23"/>
    </row>
    <row r="68" spans="1:20" x14ac:dyDescent="0.2">
      <c r="A68" s="1"/>
      <c r="B68" s="1"/>
      <c r="C68" s="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2"/>
      <c r="T68" s="23"/>
    </row>
    <row r="69" spans="1:20" x14ac:dyDescent="0.2">
      <c r="A69" s="1"/>
      <c r="B69" s="1"/>
      <c r="C69" s="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2"/>
      <c r="T69" s="23"/>
    </row>
    <row r="70" spans="1:20" x14ac:dyDescent="0.2">
      <c r="A70" s="1"/>
      <c r="B70" s="1"/>
      <c r="C70" s="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2"/>
      <c r="T70" s="23"/>
    </row>
    <row r="71" spans="1:20" x14ac:dyDescent="0.2">
      <c r="A71" s="1"/>
      <c r="B71" s="1"/>
      <c r="C71" s="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2"/>
      <c r="T71" s="23"/>
    </row>
    <row r="72" spans="1:20" x14ac:dyDescent="0.2">
      <c r="A72" s="1"/>
      <c r="B72" s="1"/>
      <c r="C72" s="1"/>
      <c r="D72" s="21"/>
      <c r="E72" s="21"/>
      <c r="F72" s="1"/>
      <c r="G72" s="1"/>
      <c r="H72" s="21"/>
      <c r="I72" s="1"/>
      <c r="J72" s="1"/>
      <c r="K72" s="21"/>
      <c r="L72" s="21"/>
      <c r="M72" s="21"/>
      <c r="N72" s="1"/>
      <c r="O72" s="1"/>
      <c r="P72" s="1"/>
      <c r="Q72" s="21"/>
      <c r="R72" s="21"/>
      <c r="S72" s="22"/>
      <c r="T72" s="23"/>
    </row>
    <row r="73" spans="1:20" x14ac:dyDescent="0.2">
      <c r="A73" s="1"/>
      <c r="B73" s="1"/>
      <c r="C73" s="1"/>
      <c r="D73" s="21"/>
      <c r="E73" s="21"/>
      <c r="F73" s="1"/>
      <c r="G73" s="1"/>
      <c r="H73" s="21"/>
      <c r="I73" s="1"/>
      <c r="J73" s="1"/>
      <c r="K73" s="21"/>
      <c r="L73" s="21"/>
      <c r="M73" s="21"/>
      <c r="N73" s="1"/>
      <c r="O73" s="1"/>
      <c r="P73" s="1"/>
      <c r="Q73" s="21"/>
      <c r="R73" s="21"/>
      <c r="S73" s="22"/>
      <c r="T73" s="23"/>
    </row>
    <row r="74" spans="1:20" x14ac:dyDescent="0.2">
      <c r="A74" s="1"/>
      <c r="B74" s="1"/>
      <c r="C74" s="1"/>
      <c r="D74" s="21"/>
      <c r="E74" s="21"/>
      <c r="F74" s="1"/>
      <c r="G74" s="1"/>
      <c r="H74" s="21"/>
      <c r="I74" s="1"/>
      <c r="J74" s="1"/>
      <c r="K74" s="21"/>
      <c r="L74" s="21"/>
      <c r="M74" s="21"/>
      <c r="N74" s="1"/>
      <c r="O74" s="1"/>
      <c r="P74" s="1"/>
      <c r="Q74" s="21"/>
      <c r="R74" s="21"/>
      <c r="S74" s="22"/>
      <c r="T74" s="23"/>
    </row>
    <row r="75" spans="1:20" x14ac:dyDescent="0.2">
      <c r="A75" s="1"/>
      <c r="B75" s="1"/>
      <c r="C75" s="1"/>
      <c r="D75" s="21"/>
      <c r="E75" s="21"/>
      <c r="F75" s="1"/>
      <c r="G75" s="1"/>
      <c r="H75" s="21"/>
      <c r="I75" s="1"/>
      <c r="J75" s="1"/>
      <c r="K75" s="21"/>
      <c r="L75" s="21"/>
      <c r="M75" s="21"/>
      <c r="N75" s="1"/>
      <c r="O75" s="1"/>
      <c r="P75" s="1"/>
      <c r="Q75" s="21"/>
      <c r="R75" s="21"/>
      <c r="S75" s="22"/>
      <c r="T75" s="23"/>
    </row>
    <row r="76" spans="1:20" x14ac:dyDescent="0.2">
      <c r="A76" s="1"/>
      <c r="B76" s="1"/>
      <c r="C76" s="1"/>
      <c r="D76" s="21"/>
      <c r="E76" s="21"/>
      <c r="F76" s="1"/>
      <c r="G76" s="1"/>
      <c r="H76" s="21"/>
      <c r="I76" s="1"/>
      <c r="J76" s="1"/>
      <c r="K76" s="21"/>
      <c r="L76" s="21"/>
      <c r="M76" s="21"/>
      <c r="N76" s="1"/>
      <c r="O76" s="1"/>
      <c r="P76" s="1"/>
      <c r="Q76" s="21"/>
      <c r="R76" s="21"/>
      <c r="S76" s="22"/>
      <c r="T76" s="23"/>
    </row>
    <row r="77" spans="1:20" x14ac:dyDescent="0.2">
      <c r="A77" s="1"/>
      <c r="B77" s="1"/>
      <c r="C77" s="1"/>
      <c r="D77" s="21"/>
      <c r="E77" s="21"/>
      <c r="F77" s="1"/>
      <c r="G77" s="1"/>
      <c r="H77" s="21"/>
      <c r="I77" s="1"/>
      <c r="J77" s="1"/>
      <c r="K77" s="21"/>
      <c r="L77" s="21"/>
      <c r="M77" s="21"/>
      <c r="N77" s="1"/>
      <c r="O77" s="1"/>
      <c r="P77" s="1"/>
      <c r="Q77" s="21"/>
      <c r="R77" s="21"/>
      <c r="S77" s="22"/>
      <c r="T77" s="23"/>
    </row>
    <row r="78" spans="1:20" x14ac:dyDescent="0.2">
      <c r="A78" s="1"/>
      <c r="B78" s="1"/>
      <c r="C78" s="1"/>
      <c r="D78" s="21"/>
      <c r="E78" s="21"/>
      <c r="F78" s="1"/>
      <c r="G78" s="1"/>
      <c r="H78" s="21"/>
      <c r="I78" s="1"/>
      <c r="J78" s="1"/>
      <c r="K78" s="21"/>
      <c r="L78" s="21"/>
      <c r="M78" s="21"/>
      <c r="N78" s="1"/>
      <c r="O78" s="1"/>
      <c r="P78" s="1"/>
      <c r="Q78" s="21"/>
      <c r="R78" s="21"/>
      <c r="S78" s="22"/>
      <c r="T78" s="23"/>
    </row>
    <row r="79" spans="1:20" x14ac:dyDescent="0.2">
      <c r="A79" s="1"/>
      <c r="B79" s="1"/>
      <c r="C79" s="1"/>
      <c r="D79" s="21"/>
      <c r="E79" s="21"/>
      <c r="F79" s="1"/>
      <c r="G79" s="1"/>
      <c r="H79" s="21"/>
      <c r="I79" s="1"/>
      <c r="J79" s="1"/>
      <c r="K79" s="21"/>
      <c r="L79" s="21"/>
      <c r="M79" s="21"/>
      <c r="N79" s="1"/>
      <c r="O79" s="1"/>
      <c r="P79" s="1"/>
      <c r="Q79" s="21"/>
      <c r="R79" s="21"/>
      <c r="S79" s="22"/>
      <c r="T79" s="23"/>
    </row>
    <row r="80" spans="1:20" x14ac:dyDescent="0.2">
      <c r="A80" s="1"/>
      <c r="B80" s="1"/>
      <c r="C80" s="1"/>
      <c r="D80" s="21"/>
      <c r="E80" s="21"/>
      <c r="F80" s="1"/>
      <c r="G80" s="1"/>
      <c r="H80" s="21"/>
      <c r="I80" s="1"/>
      <c r="J80" s="1"/>
      <c r="K80" s="21"/>
      <c r="L80" s="21"/>
      <c r="M80" s="21"/>
      <c r="N80" s="1"/>
      <c r="O80" s="1"/>
      <c r="P80" s="1"/>
      <c r="Q80" s="21"/>
      <c r="R80" s="21"/>
      <c r="S80" s="22"/>
      <c r="T80" s="23"/>
    </row>
    <row r="81" spans="1:20" x14ac:dyDescent="0.2">
      <c r="A81" s="1"/>
      <c r="B81" s="1"/>
      <c r="C81" s="1"/>
      <c r="D81" s="21"/>
      <c r="E81" s="21"/>
      <c r="F81" s="1"/>
      <c r="G81" s="1"/>
      <c r="H81" s="21"/>
      <c r="I81" s="1"/>
      <c r="J81" s="1"/>
      <c r="K81" s="21"/>
      <c r="L81" s="21"/>
      <c r="M81" s="21"/>
      <c r="N81" s="1"/>
      <c r="O81" s="1"/>
      <c r="P81" s="1"/>
      <c r="Q81" s="21"/>
      <c r="R81" s="21"/>
      <c r="S81" s="22"/>
      <c r="T81" s="23"/>
    </row>
    <row r="82" spans="1:20" x14ac:dyDescent="0.2">
      <c r="A82" s="1"/>
      <c r="B82" s="1"/>
      <c r="C82" s="1"/>
      <c r="D82" s="21"/>
      <c r="E82" s="21"/>
      <c r="F82" s="1"/>
      <c r="G82" s="1"/>
      <c r="H82" s="21"/>
      <c r="I82" s="1"/>
      <c r="J82" s="1"/>
      <c r="K82" s="21"/>
      <c r="L82" s="21"/>
      <c r="M82" s="21"/>
      <c r="N82" s="1"/>
      <c r="O82" s="1"/>
      <c r="P82" s="1"/>
      <c r="Q82" s="21"/>
      <c r="R82" s="21"/>
      <c r="S82" s="22"/>
      <c r="T82" s="23"/>
    </row>
    <row r="83" spans="1:20" x14ac:dyDescent="0.2">
      <c r="A83" s="1"/>
      <c r="B83" s="1"/>
      <c r="C83" s="1"/>
      <c r="D83" s="21"/>
      <c r="E83" s="21"/>
      <c r="F83" s="1"/>
      <c r="G83" s="1"/>
      <c r="H83" s="21"/>
      <c r="I83" s="1"/>
      <c r="J83" s="1"/>
      <c r="K83" s="21"/>
      <c r="L83" s="21"/>
      <c r="M83" s="21"/>
      <c r="N83" s="1"/>
      <c r="O83" s="1"/>
      <c r="P83" s="1"/>
      <c r="Q83" s="21"/>
      <c r="R83" s="21"/>
      <c r="S83" s="22"/>
      <c r="T83" s="23"/>
    </row>
    <row r="84" spans="1:20" x14ac:dyDescent="0.2">
      <c r="A84" s="1"/>
      <c r="B84" s="1"/>
      <c r="C84" s="1"/>
      <c r="D84" s="21"/>
      <c r="E84" s="21"/>
      <c r="F84" s="1"/>
      <c r="G84" s="1"/>
      <c r="H84" s="21"/>
      <c r="I84" s="1"/>
      <c r="J84" s="1"/>
      <c r="K84" s="21"/>
      <c r="L84" s="21"/>
      <c r="M84" s="21"/>
      <c r="N84" s="1"/>
      <c r="O84" s="1"/>
      <c r="P84" s="1"/>
      <c r="Q84" s="21"/>
      <c r="R84" s="21"/>
      <c r="S84" s="22"/>
      <c r="T84" s="23"/>
    </row>
    <row r="85" spans="1:20" x14ac:dyDescent="0.2">
      <c r="A85" s="1"/>
      <c r="B85" s="1"/>
      <c r="C85" s="1"/>
      <c r="D85" s="21"/>
      <c r="E85" s="21"/>
      <c r="F85" s="1"/>
      <c r="G85" s="1"/>
      <c r="H85" s="21"/>
      <c r="I85" s="1"/>
      <c r="J85" s="1"/>
      <c r="K85" s="21"/>
      <c r="L85" s="21"/>
      <c r="M85" s="21"/>
      <c r="N85" s="1"/>
      <c r="O85" s="1"/>
      <c r="P85" s="1"/>
      <c r="Q85" s="21"/>
      <c r="R85" s="21"/>
      <c r="S85" s="22"/>
      <c r="T85" s="23"/>
    </row>
    <row r="86" spans="1:20" x14ac:dyDescent="0.2">
      <c r="A86" s="1"/>
      <c r="B86" s="1"/>
      <c r="C86" s="1"/>
      <c r="D86" s="21"/>
      <c r="E86" s="21"/>
      <c r="F86" s="1"/>
      <c r="G86" s="1"/>
      <c r="H86" s="21"/>
      <c r="I86" s="1"/>
      <c r="J86" s="1"/>
      <c r="K86" s="21"/>
      <c r="L86" s="21"/>
      <c r="M86" s="21"/>
      <c r="N86" s="1"/>
      <c r="O86" s="1"/>
      <c r="P86" s="1"/>
      <c r="Q86" s="21"/>
      <c r="R86" s="21"/>
      <c r="S86" s="22"/>
      <c r="T86" s="23"/>
    </row>
    <row r="87" spans="1:20" x14ac:dyDescent="0.2">
      <c r="A87" s="1"/>
      <c r="B87" s="1"/>
      <c r="C87" s="1"/>
      <c r="D87" s="21"/>
      <c r="E87" s="21"/>
      <c r="F87" s="1"/>
      <c r="G87" s="1"/>
      <c r="H87" s="21"/>
      <c r="I87" s="1"/>
      <c r="J87" s="1"/>
      <c r="K87" s="21"/>
      <c r="L87" s="21"/>
      <c r="M87" s="21"/>
      <c r="N87" s="1"/>
      <c r="O87" s="1"/>
      <c r="P87" s="1"/>
      <c r="Q87" s="21"/>
      <c r="R87" s="21"/>
      <c r="S87" s="22"/>
      <c r="T87" s="23"/>
    </row>
    <row r="88" spans="1:20" x14ac:dyDescent="0.2">
      <c r="A88" s="1"/>
      <c r="B88" s="1"/>
      <c r="C88" s="1"/>
      <c r="D88" s="21"/>
      <c r="E88" s="21"/>
      <c r="F88" s="1"/>
      <c r="G88" s="1"/>
      <c r="H88" s="21"/>
      <c r="I88" s="1"/>
      <c r="J88" s="1"/>
      <c r="K88" s="21"/>
      <c r="L88" s="21"/>
      <c r="M88" s="21"/>
      <c r="N88" s="1"/>
      <c r="O88" s="1"/>
      <c r="P88" s="1"/>
      <c r="Q88" s="21"/>
      <c r="R88" s="21"/>
      <c r="S88" s="22"/>
      <c r="T88" s="23"/>
    </row>
    <row r="89" spans="1:20" x14ac:dyDescent="0.2">
      <c r="A89" s="1"/>
      <c r="B89" s="1"/>
      <c r="C89" s="1"/>
      <c r="D89" s="21"/>
      <c r="E89" s="21"/>
      <c r="F89" s="1"/>
      <c r="G89" s="1"/>
      <c r="H89" s="21"/>
      <c r="I89" s="1"/>
      <c r="J89" s="1"/>
      <c r="K89" s="21"/>
      <c r="L89" s="21"/>
      <c r="M89" s="21"/>
      <c r="N89" s="1"/>
      <c r="O89" s="1"/>
      <c r="P89" s="1"/>
      <c r="Q89" s="21"/>
      <c r="R89" s="21"/>
      <c r="S89" s="22"/>
      <c r="T89" s="23"/>
    </row>
    <row r="90" spans="1:20" x14ac:dyDescent="0.2">
      <c r="A90" s="1"/>
      <c r="B90" s="1"/>
      <c r="C90" s="1"/>
      <c r="D90" s="21"/>
      <c r="E90" s="21"/>
      <c r="F90" s="1"/>
      <c r="G90" s="1"/>
      <c r="H90" s="21"/>
      <c r="I90" s="1"/>
      <c r="J90" s="1"/>
      <c r="K90" s="21"/>
      <c r="L90" s="21"/>
      <c r="M90" s="21"/>
      <c r="N90" s="1"/>
      <c r="O90" s="1"/>
      <c r="P90" s="1"/>
      <c r="Q90" s="21"/>
      <c r="R90" s="21"/>
      <c r="S90" s="22"/>
      <c r="T90" s="23"/>
    </row>
    <row r="91" spans="1:20" x14ac:dyDescent="0.2">
      <c r="A91" s="1"/>
      <c r="B91" s="1"/>
      <c r="C91" s="1"/>
      <c r="D91" s="21"/>
      <c r="E91" s="21"/>
      <c r="F91" s="1"/>
      <c r="G91" s="1"/>
      <c r="H91" s="21"/>
      <c r="I91" s="1"/>
      <c r="J91" s="1"/>
      <c r="K91" s="21"/>
      <c r="L91" s="21"/>
      <c r="M91" s="21"/>
      <c r="N91" s="1"/>
      <c r="O91" s="1"/>
      <c r="P91" s="1"/>
      <c r="Q91" s="21"/>
      <c r="R91" s="21"/>
      <c r="S91" s="22"/>
      <c r="T91" s="23"/>
    </row>
    <row r="92" spans="1:20" x14ac:dyDescent="0.2">
      <c r="A92" s="1"/>
      <c r="B92" s="1"/>
      <c r="C92" s="1"/>
      <c r="D92" s="21"/>
      <c r="E92" s="21"/>
      <c r="F92" s="1"/>
      <c r="G92" s="1"/>
      <c r="H92" s="21"/>
      <c r="I92" s="1"/>
      <c r="J92" s="1"/>
      <c r="K92" s="21"/>
      <c r="L92" s="21"/>
      <c r="M92" s="21"/>
      <c r="N92" s="1"/>
      <c r="O92" s="1"/>
      <c r="P92" s="1"/>
      <c r="Q92" s="21"/>
      <c r="R92" s="21"/>
      <c r="S92" s="22"/>
      <c r="T92" s="23"/>
    </row>
    <row r="93" spans="1:20" x14ac:dyDescent="0.2">
      <c r="A93" s="1"/>
      <c r="B93" s="1"/>
      <c r="C93" s="1"/>
      <c r="D93" s="21"/>
      <c r="E93" s="21"/>
      <c r="F93" s="1"/>
      <c r="G93" s="1"/>
      <c r="H93" s="21"/>
      <c r="I93" s="1"/>
      <c r="J93" s="1"/>
      <c r="K93" s="21"/>
      <c r="L93" s="21"/>
      <c r="M93" s="21"/>
      <c r="N93" s="1"/>
      <c r="O93" s="1"/>
      <c r="P93" s="1"/>
      <c r="Q93" s="21"/>
      <c r="R93" s="21"/>
      <c r="S93" s="22"/>
      <c r="T93" s="23"/>
    </row>
    <row r="94" spans="1:20" x14ac:dyDescent="0.2">
      <c r="A94" s="1"/>
      <c r="B94" s="1"/>
      <c r="C94" s="1"/>
      <c r="D94" s="21"/>
      <c r="E94" s="21"/>
      <c r="F94" s="1"/>
      <c r="G94" s="1"/>
      <c r="H94" s="21"/>
      <c r="I94" s="1"/>
      <c r="J94" s="1"/>
      <c r="K94" s="21"/>
      <c r="L94" s="21"/>
      <c r="M94" s="21"/>
      <c r="N94" s="1"/>
      <c r="O94" s="1"/>
      <c r="P94" s="1"/>
      <c r="Q94" s="21"/>
      <c r="R94" s="21"/>
      <c r="S94" s="22"/>
      <c r="T94" s="23"/>
    </row>
    <row r="95" spans="1:20" x14ac:dyDescent="0.2">
      <c r="A95" s="1"/>
      <c r="B95" s="1"/>
      <c r="C95" s="1"/>
      <c r="D95" s="21"/>
      <c r="E95" s="21"/>
      <c r="F95" s="1"/>
      <c r="G95" s="1"/>
      <c r="H95" s="21"/>
      <c r="I95" s="1"/>
      <c r="J95" s="1"/>
      <c r="K95" s="21"/>
      <c r="L95" s="21"/>
      <c r="M95" s="21"/>
      <c r="N95" s="1"/>
      <c r="O95" s="1"/>
      <c r="P95" s="1"/>
      <c r="Q95" s="21"/>
      <c r="R95" s="21"/>
      <c r="S95" s="22"/>
      <c r="T95" s="23"/>
    </row>
    <row r="96" spans="1:20" x14ac:dyDescent="0.2">
      <c r="A96" s="1"/>
      <c r="B96" s="1"/>
      <c r="C96" s="1"/>
      <c r="D96" s="21"/>
      <c r="E96" s="21"/>
      <c r="F96" s="1"/>
      <c r="G96" s="1"/>
      <c r="H96" s="21"/>
      <c r="I96" s="1"/>
      <c r="J96" s="1"/>
      <c r="K96" s="21"/>
      <c r="L96" s="21"/>
      <c r="M96" s="21"/>
      <c r="N96" s="1"/>
      <c r="O96" s="1"/>
      <c r="P96" s="1"/>
      <c r="Q96" s="21"/>
      <c r="R96" s="21"/>
      <c r="S96" s="22"/>
      <c r="T96" s="23"/>
    </row>
    <row r="97" spans="1:20" x14ac:dyDescent="0.2">
      <c r="A97" s="1"/>
      <c r="B97" s="1"/>
      <c r="C97" s="1"/>
      <c r="D97" s="21"/>
      <c r="E97" s="21"/>
      <c r="F97" s="1"/>
      <c r="G97" s="1"/>
      <c r="H97" s="21"/>
      <c r="I97" s="1"/>
      <c r="J97" s="1"/>
      <c r="K97" s="21"/>
      <c r="L97" s="21"/>
      <c r="M97" s="21"/>
      <c r="N97" s="1"/>
      <c r="O97" s="1"/>
      <c r="P97" s="1"/>
      <c r="Q97" s="21"/>
      <c r="R97" s="21"/>
      <c r="S97" s="22"/>
      <c r="T97" s="23"/>
    </row>
    <row r="98" spans="1:20" x14ac:dyDescent="0.2">
      <c r="A98" s="1"/>
      <c r="B98" s="1"/>
      <c r="C98" s="1"/>
      <c r="D98" s="21"/>
      <c r="E98" s="21"/>
      <c r="F98" s="1"/>
      <c r="G98" s="1"/>
      <c r="H98" s="21"/>
      <c r="I98" s="1"/>
      <c r="J98" s="1"/>
      <c r="K98" s="21"/>
      <c r="L98" s="21"/>
      <c r="M98" s="21"/>
      <c r="N98" s="1"/>
      <c r="O98" s="1"/>
      <c r="P98" s="1"/>
      <c r="Q98" s="21"/>
      <c r="R98" s="21"/>
      <c r="S98" s="22"/>
      <c r="T98" s="23"/>
    </row>
    <row r="99" spans="1:20" x14ac:dyDescent="0.2">
      <c r="A99" s="1"/>
      <c r="B99" s="1"/>
      <c r="C99" s="1"/>
      <c r="D99" s="21"/>
      <c r="E99" s="21"/>
      <c r="F99" s="1"/>
      <c r="G99" s="1"/>
      <c r="H99" s="21"/>
      <c r="I99" s="1"/>
      <c r="J99" s="1"/>
      <c r="K99" s="21"/>
      <c r="L99" s="21"/>
      <c r="M99" s="21"/>
      <c r="N99" s="1"/>
      <c r="O99" s="1"/>
      <c r="P99" s="1"/>
      <c r="Q99" s="21"/>
      <c r="R99" s="21"/>
      <c r="S99" s="22"/>
      <c r="T99" s="23"/>
    </row>
    <row r="100" spans="1:20" x14ac:dyDescent="0.2">
      <c r="A100" s="1"/>
      <c r="B100" s="1"/>
      <c r="C100" s="1"/>
      <c r="D100" s="21"/>
      <c r="E100" s="21"/>
      <c r="F100" s="1"/>
      <c r="G100" s="1"/>
      <c r="H100" s="21"/>
      <c r="I100" s="1"/>
      <c r="J100" s="1"/>
      <c r="K100" s="21"/>
      <c r="L100" s="21"/>
      <c r="M100" s="21"/>
      <c r="N100" s="1"/>
      <c r="O100" s="1"/>
      <c r="P100" s="1"/>
      <c r="Q100" s="21"/>
      <c r="R100" s="21"/>
      <c r="S100" s="22"/>
      <c r="T100" s="23"/>
    </row>
    <row r="101" spans="1:20" x14ac:dyDescent="0.2">
      <c r="A101" s="1"/>
      <c r="B101" s="1"/>
      <c r="C101" s="1"/>
      <c r="D101" s="21"/>
      <c r="E101" s="21"/>
      <c r="F101" s="1"/>
      <c r="G101" s="1"/>
      <c r="H101" s="21"/>
      <c r="I101" s="1"/>
      <c r="J101" s="1"/>
      <c r="K101" s="21"/>
      <c r="L101" s="21"/>
      <c r="M101" s="21"/>
      <c r="N101" s="1"/>
      <c r="O101" s="1"/>
      <c r="P101" s="1"/>
      <c r="Q101" s="21"/>
      <c r="R101" s="21"/>
      <c r="S101" s="22"/>
      <c r="T101" s="23"/>
    </row>
    <row r="102" spans="1:20" x14ac:dyDescent="0.2">
      <c r="A102" s="1"/>
      <c r="B102" s="1"/>
      <c r="C102" s="1"/>
      <c r="D102" s="21"/>
      <c r="E102" s="21"/>
      <c r="F102" s="1"/>
      <c r="G102" s="1"/>
      <c r="H102" s="21"/>
      <c r="I102" s="1"/>
      <c r="J102" s="1"/>
      <c r="K102" s="21"/>
      <c r="L102" s="21"/>
      <c r="M102" s="21"/>
      <c r="N102" s="1"/>
      <c r="O102" s="1"/>
      <c r="P102" s="1"/>
      <c r="Q102" s="21"/>
      <c r="R102" s="21"/>
      <c r="S102" s="22"/>
      <c r="T102" s="23"/>
    </row>
    <row r="103" spans="1:20" x14ac:dyDescent="0.2">
      <c r="A103" s="1"/>
      <c r="B103" s="1"/>
      <c r="C103" s="1"/>
      <c r="D103" s="21"/>
      <c r="E103" s="21"/>
      <c r="F103" s="1"/>
      <c r="G103" s="1"/>
      <c r="H103" s="21"/>
      <c r="I103" s="1"/>
      <c r="J103" s="1"/>
      <c r="K103" s="21"/>
      <c r="L103" s="21"/>
      <c r="M103" s="21"/>
      <c r="N103" s="1"/>
      <c r="O103" s="1"/>
      <c r="P103" s="1"/>
      <c r="Q103" s="21"/>
      <c r="R103" s="21"/>
      <c r="S103" s="22"/>
      <c r="T103" s="23"/>
    </row>
    <row r="104" spans="1:20" x14ac:dyDescent="0.2">
      <c r="A104" s="1"/>
      <c r="B104" s="1"/>
      <c r="C104" s="1"/>
      <c r="D104" s="21"/>
      <c r="E104" s="21"/>
      <c r="F104" s="1"/>
      <c r="G104" s="1"/>
      <c r="H104" s="21"/>
      <c r="I104" s="1"/>
      <c r="J104" s="1"/>
      <c r="K104" s="21"/>
      <c r="L104" s="21"/>
      <c r="M104" s="21"/>
      <c r="N104" s="1"/>
      <c r="O104" s="1"/>
      <c r="P104" s="1"/>
      <c r="Q104" s="21"/>
      <c r="R104" s="21"/>
      <c r="S104" s="22"/>
      <c r="T104" s="23"/>
    </row>
    <row r="105" spans="1:20" x14ac:dyDescent="0.2">
      <c r="A105" s="1"/>
      <c r="B105" s="1"/>
      <c r="C105" s="1"/>
      <c r="D105" s="21"/>
      <c r="E105" s="21"/>
      <c r="F105" s="1"/>
      <c r="G105" s="1"/>
      <c r="H105" s="21"/>
      <c r="I105" s="1"/>
      <c r="J105" s="1"/>
      <c r="K105" s="21"/>
      <c r="L105" s="21"/>
      <c r="M105" s="21"/>
      <c r="N105" s="1"/>
      <c r="O105" s="1"/>
      <c r="P105" s="1"/>
      <c r="Q105" s="21"/>
      <c r="R105" s="21"/>
      <c r="S105" s="22"/>
      <c r="T105" s="23"/>
    </row>
    <row r="106" spans="1:20" x14ac:dyDescent="0.2">
      <c r="A106" s="1"/>
      <c r="B106" s="1"/>
      <c r="C106" s="1"/>
      <c r="D106" s="21"/>
      <c r="E106" s="21"/>
      <c r="F106" s="1"/>
      <c r="G106" s="1"/>
      <c r="H106" s="21"/>
      <c r="I106" s="1"/>
      <c r="J106" s="1"/>
      <c r="K106" s="21"/>
      <c r="L106" s="21"/>
      <c r="M106" s="21"/>
      <c r="N106" s="1"/>
      <c r="O106" s="1"/>
      <c r="P106" s="1"/>
      <c r="Q106" s="21"/>
      <c r="R106" s="21"/>
      <c r="S106" s="22"/>
      <c r="T106" s="23"/>
    </row>
    <row r="107" spans="1:20" x14ac:dyDescent="0.2">
      <c r="A107" s="1"/>
      <c r="B107" s="1"/>
      <c r="C107" s="1"/>
      <c r="D107" s="21"/>
      <c r="E107" s="21"/>
      <c r="F107" s="1"/>
      <c r="G107" s="1"/>
      <c r="H107" s="21"/>
      <c r="I107" s="1"/>
      <c r="J107" s="1"/>
      <c r="K107" s="21"/>
      <c r="L107" s="21"/>
      <c r="M107" s="21"/>
      <c r="N107" s="1"/>
      <c r="O107" s="1"/>
      <c r="P107" s="1"/>
      <c r="Q107" s="21"/>
      <c r="R107" s="21"/>
      <c r="S107" s="22"/>
      <c r="T107" s="23"/>
    </row>
    <row r="108" spans="1:20" x14ac:dyDescent="0.2">
      <c r="A108" s="1"/>
      <c r="B108" s="1"/>
      <c r="C108" s="1"/>
      <c r="D108" s="21"/>
      <c r="E108" s="21"/>
      <c r="F108" s="1"/>
      <c r="G108" s="1"/>
      <c r="H108" s="21"/>
      <c r="I108" s="1"/>
      <c r="J108" s="1"/>
      <c r="K108" s="21"/>
      <c r="L108" s="21"/>
      <c r="M108" s="21"/>
      <c r="N108" s="1"/>
      <c r="O108" s="1"/>
      <c r="P108" s="1"/>
      <c r="Q108" s="21"/>
      <c r="R108" s="21"/>
      <c r="S108" s="22"/>
      <c r="T108" s="23"/>
    </row>
    <row r="109" spans="1:20" x14ac:dyDescent="0.2">
      <c r="A109" s="1"/>
      <c r="B109" s="1"/>
      <c r="C109" s="1"/>
      <c r="D109" s="21"/>
      <c r="E109" s="21"/>
      <c r="F109" s="1"/>
      <c r="G109" s="1"/>
      <c r="H109" s="21"/>
      <c r="I109" s="1"/>
      <c r="J109" s="1"/>
      <c r="K109" s="21"/>
      <c r="L109" s="21"/>
      <c r="M109" s="21"/>
      <c r="N109" s="1"/>
      <c r="O109" s="1"/>
      <c r="P109" s="1"/>
      <c r="Q109" s="21"/>
      <c r="R109" s="21"/>
      <c r="S109" s="22"/>
      <c r="T109" s="23"/>
    </row>
    <row r="110" spans="1:20" x14ac:dyDescent="0.2">
      <c r="A110" s="1"/>
      <c r="B110" s="1"/>
      <c r="C110" s="1"/>
      <c r="D110" s="21"/>
      <c r="E110" s="21"/>
      <c r="F110" s="1"/>
      <c r="G110" s="1"/>
      <c r="H110" s="21"/>
      <c r="I110" s="1"/>
      <c r="J110" s="1"/>
      <c r="K110" s="21"/>
      <c r="L110" s="21"/>
      <c r="M110" s="21"/>
      <c r="N110" s="1"/>
      <c r="O110" s="1"/>
      <c r="P110" s="1"/>
      <c r="Q110" s="21"/>
      <c r="R110" s="21"/>
      <c r="S110" s="22"/>
      <c r="T110" s="23"/>
    </row>
    <row r="111" spans="1:20" x14ac:dyDescent="0.2">
      <c r="A111" s="1"/>
      <c r="B111" s="1"/>
      <c r="C111" s="1"/>
      <c r="D111" s="21"/>
      <c r="E111" s="21"/>
      <c r="F111" s="1"/>
      <c r="G111" s="1"/>
      <c r="H111" s="21"/>
      <c r="I111" s="1"/>
      <c r="J111" s="1"/>
      <c r="K111" s="21"/>
      <c r="L111" s="21"/>
      <c r="M111" s="21"/>
      <c r="N111" s="1"/>
      <c r="O111" s="1"/>
      <c r="P111" s="1"/>
      <c r="Q111" s="21"/>
      <c r="R111" s="21"/>
      <c r="S111" s="22"/>
      <c r="T111" s="23"/>
    </row>
    <row r="112" spans="1:20" x14ac:dyDescent="0.2">
      <c r="A112" s="1"/>
      <c r="B112" s="1"/>
      <c r="C112" s="1"/>
      <c r="D112" s="21"/>
      <c r="E112" s="21"/>
      <c r="F112" s="1"/>
      <c r="G112" s="1"/>
      <c r="H112" s="21"/>
      <c r="I112" s="1"/>
      <c r="J112" s="1"/>
      <c r="K112" s="21"/>
      <c r="L112" s="21"/>
      <c r="M112" s="21"/>
      <c r="N112" s="1"/>
      <c r="O112" s="1"/>
      <c r="P112" s="1"/>
      <c r="Q112" s="21"/>
      <c r="R112" s="21"/>
      <c r="S112" s="22"/>
      <c r="T112" s="23"/>
    </row>
    <row r="113" spans="1:20" x14ac:dyDescent="0.2">
      <c r="A113" s="1"/>
      <c r="B113" s="1"/>
      <c r="C113" s="1"/>
      <c r="D113" s="21"/>
      <c r="E113" s="21"/>
      <c r="F113" s="1"/>
      <c r="G113" s="1"/>
      <c r="H113" s="21"/>
      <c r="I113" s="1"/>
      <c r="J113" s="1"/>
      <c r="K113" s="21"/>
      <c r="L113" s="21"/>
      <c r="M113" s="21"/>
      <c r="N113" s="1"/>
      <c r="O113" s="1"/>
      <c r="P113" s="1"/>
      <c r="Q113" s="21"/>
      <c r="R113" s="21"/>
      <c r="S113" s="22"/>
      <c r="T113" s="23"/>
    </row>
    <row r="114" spans="1:20" x14ac:dyDescent="0.2">
      <c r="A114" s="1" t="s">
        <v>372</v>
      </c>
      <c r="B114" s="1" t="s">
        <v>306</v>
      </c>
      <c r="C114" s="1" t="s">
        <v>307</v>
      </c>
      <c r="D114" s="21" t="s">
        <v>308</v>
      </c>
      <c r="E114" s="21" t="s">
        <v>309</v>
      </c>
      <c r="F114" s="21"/>
      <c r="G114" s="21"/>
      <c r="H114" s="21" t="s">
        <v>310</v>
      </c>
      <c r="I114" s="21"/>
      <c r="J114" s="21"/>
      <c r="K114" s="21" t="s">
        <v>311</v>
      </c>
      <c r="L114" s="21" t="s">
        <v>312</v>
      </c>
      <c r="M114" s="21" t="s">
        <v>373</v>
      </c>
      <c r="N114" s="21"/>
      <c r="O114" s="21"/>
      <c r="P114" s="21"/>
      <c r="Q114" s="21" t="s">
        <v>314</v>
      </c>
      <c r="R114" s="21" t="s">
        <v>20</v>
      </c>
      <c r="S114" s="22">
        <v>2050</v>
      </c>
      <c r="T114" s="23" t="s">
        <v>33</v>
      </c>
    </row>
    <row r="115" spans="1:20" x14ac:dyDescent="0.2">
      <c r="A115" s="1" t="s">
        <v>374</v>
      </c>
      <c r="B115" s="1" t="s">
        <v>316</v>
      </c>
      <c r="C115" s="1" t="s">
        <v>307</v>
      </c>
      <c r="D115" s="21" t="s">
        <v>308</v>
      </c>
      <c r="E115" s="21" t="s">
        <v>309</v>
      </c>
      <c r="F115" s="21"/>
      <c r="G115" s="21"/>
      <c r="H115" s="21" t="s">
        <v>310</v>
      </c>
      <c r="I115" s="21"/>
      <c r="J115" s="21"/>
      <c r="K115" s="21" t="s">
        <v>311</v>
      </c>
      <c r="L115" s="21" t="s">
        <v>312</v>
      </c>
      <c r="M115" s="21" t="s">
        <v>373</v>
      </c>
      <c r="N115" s="21"/>
      <c r="O115" s="21"/>
      <c r="P115" s="21"/>
      <c r="Q115" s="21" t="s">
        <v>314</v>
      </c>
      <c r="R115" s="21" t="s">
        <v>20</v>
      </c>
      <c r="S115" s="22">
        <v>2350</v>
      </c>
      <c r="T115" s="23" t="s">
        <v>33</v>
      </c>
    </row>
    <row r="116" spans="1:20" x14ac:dyDescent="0.2">
      <c r="A116" s="1" t="s">
        <v>375</v>
      </c>
      <c r="B116" s="1" t="s">
        <v>318</v>
      </c>
      <c r="C116" s="1" t="s">
        <v>307</v>
      </c>
      <c r="D116" s="21" t="s">
        <v>308</v>
      </c>
      <c r="E116" s="21" t="s">
        <v>309</v>
      </c>
      <c r="F116" s="21"/>
      <c r="G116" s="21"/>
      <c r="H116" s="21" t="s">
        <v>310</v>
      </c>
      <c r="I116" s="21"/>
      <c r="J116" s="21"/>
      <c r="K116" s="21" t="s">
        <v>311</v>
      </c>
      <c r="L116" s="21" t="s">
        <v>312</v>
      </c>
      <c r="M116" s="21" t="s">
        <v>373</v>
      </c>
      <c r="N116" s="21"/>
      <c r="O116" s="21"/>
      <c r="P116" s="21"/>
      <c r="Q116" s="21" t="s">
        <v>314</v>
      </c>
      <c r="R116" s="21" t="s">
        <v>20</v>
      </c>
      <c r="S116" s="22">
        <v>2680</v>
      </c>
      <c r="T116" s="23" t="s">
        <v>33</v>
      </c>
    </row>
    <row r="117" spans="1:20" x14ac:dyDescent="0.2">
      <c r="A117" s="1" t="s">
        <v>376</v>
      </c>
      <c r="B117" s="1" t="s">
        <v>320</v>
      </c>
      <c r="C117" s="1" t="s">
        <v>307</v>
      </c>
      <c r="D117" s="21" t="s">
        <v>308</v>
      </c>
      <c r="E117" s="21" t="s">
        <v>309</v>
      </c>
      <c r="F117" s="21"/>
      <c r="G117" s="21"/>
      <c r="H117" s="21" t="s">
        <v>310</v>
      </c>
      <c r="I117" s="21"/>
      <c r="J117" s="21"/>
      <c r="K117" s="21" t="s">
        <v>311</v>
      </c>
      <c r="L117" s="21" t="s">
        <v>312</v>
      </c>
      <c r="M117" s="21" t="s">
        <v>373</v>
      </c>
      <c r="N117" s="21"/>
      <c r="O117" s="21"/>
      <c r="P117" s="21"/>
      <c r="Q117" s="21" t="s">
        <v>314</v>
      </c>
      <c r="R117" s="21" t="s">
        <v>20</v>
      </c>
      <c r="S117" s="22">
        <v>3200</v>
      </c>
      <c r="T117" s="23" t="s">
        <v>33</v>
      </c>
    </row>
    <row r="118" spans="1:20" x14ac:dyDescent="0.2">
      <c r="A118" s="1" t="s">
        <v>377</v>
      </c>
      <c r="B118" s="1" t="s">
        <v>322</v>
      </c>
      <c r="C118" s="1" t="s">
        <v>307</v>
      </c>
      <c r="D118" s="21" t="s">
        <v>308</v>
      </c>
      <c r="E118" s="21" t="s">
        <v>309</v>
      </c>
      <c r="F118" s="21"/>
      <c r="G118" s="21"/>
      <c r="H118" s="21" t="s">
        <v>310</v>
      </c>
      <c r="I118" s="21"/>
      <c r="J118" s="21"/>
      <c r="K118" s="21" t="s">
        <v>311</v>
      </c>
      <c r="L118" s="21" t="s">
        <v>312</v>
      </c>
      <c r="M118" s="21" t="s">
        <v>373</v>
      </c>
      <c r="N118" s="21"/>
      <c r="O118" s="21"/>
      <c r="P118" s="21"/>
      <c r="Q118" s="21" t="s">
        <v>314</v>
      </c>
      <c r="R118" s="21" t="s">
        <v>20</v>
      </c>
      <c r="S118" s="22">
        <v>4600</v>
      </c>
      <c r="T118" s="23" t="s">
        <v>33</v>
      </c>
    </row>
    <row r="119" spans="1:20" x14ac:dyDescent="0.2">
      <c r="A119" s="1" t="s">
        <v>378</v>
      </c>
      <c r="B119" s="1" t="s">
        <v>324</v>
      </c>
      <c r="C119" s="1" t="s">
        <v>307</v>
      </c>
      <c r="D119" s="21" t="s">
        <v>308</v>
      </c>
      <c r="E119" s="21" t="s">
        <v>309</v>
      </c>
      <c r="F119" s="21"/>
      <c r="G119" s="21"/>
      <c r="H119" s="21" t="s">
        <v>310</v>
      </c>
      <c r="I119" s="21"/>
      <c r="J119" s="21"/>
      <c r="K119" s="21" t="s">
        <v>311</v>
      </c>
      <c r="L119" s="21" t="s">
        <v>312</v>
      </c>
      <c r="M119" s="21" t="s">
        <v>373</v>
      </c>
      <c r="N119" s="21"/>
      <c r="O119" s="21"/>
      <c r="P119" s="21"/>
      <c r="Q119" s="21" t="s">
        <v>314</v>
      </c>
      <c r="R119" s="21" t="s">
        <v>20</v>
      </c>
      <c r="S119" s="22">
        <v>5960</v>
      </c>
      <c r="T119" s="23" t="s">
        <v>33</v>
      </c>
    </row>
    <row r="120" spans="1:20" x14ac:dyDescent="0.2">
      <c r="A120" s="1" t="s">
        <v>379</v>
      </c>
      <c r="B120" s="1" t="s">
        <v>326</v>
      </c>
      <c r="C120" s="1" t="s">
        <v>307</v>
      </c>
      <c r="D120" s="21" t="s">
        <v>308</v>
      </c>
      <c r="E120" s="21" t="s">
        <v>309</v>
      </c>
      <c r="F120" s="21"/>
      <c r="G120" s="21"/>
      <c r="H120" s="21" t="s">
        <v>310</v>
      </c>
      <c r="I120" s="21"/>
      <c r="J120" s="21"/>
      <c r="K120" s="21" t="s">
        <v>311</v>
      </c>
      <c r="L120" s="21" t="s">
        <v>312</v>
      </c>
      <c r="M120" s="21" t="s">
        <v>373</v>
      </c>
      <c r="N120" s="21"/>
      <c r="O120" s="21"/>
      <c r="P120" s="21"/>
      <c r="Q120" s="21" t="s">
        <v>314</v>
      </c>
      <c r="R120" s="21" t="s">
        <v>20</v>
      </c>
      <c r="S120" s="22">
        <v>6910</v>
      </c>
      <c r="T120" s="23" t="s">
        <v>33</v>
      </c>
    </row>
    <row r="121" spans="1:20" x14ac:dyDescent="0.2">
      <c r="A121" s="1" t="s">
        <v>380</v>
      </c>
      <c r="B121" s="1" t="s">
        <v>328</v>
      </c>
      <c r="C121" s="1" t="s">
        <v>307</v>
      </c>
      <c r="D121" s="21" t="s">
        <v>308</v>
      </c>
      <c r="E121" s="21" t="s">
        <v>309</v>
      </c>
      <c r="F121" s="21"/>
      <c r="G121" s="21"/>
      <c r="H121" s="21" t="s">
        <v>310</v>
      </c>
      <c r="I121" s="21"/>
      <c r="J121" s="21"/>
      <c r="K121" s="21" t="s">
        <v>311</v>
      </c>
      <c r="L121" s="21" t="s">
        <v>312</v>
      </c>
      <c r="M121" s="21" t="s">
        <v>373</v>
      </c>
      <c r="N121" s="21"/>
      <c r="O121" s="21"/>
      <c r="P121" s="21"/>
      <c r="Q121" s="21" t="s">
        <v>314</v>
      </c>
      <c r="R121" s="21" t="s">
        <v>20</v>
      </c>
      <c r="S121" s="22">
        <v>8590</v>
      </c>
      <c r="T121" s="23" t="s">
        <v>33</v>
      </c>
    </row>
    <row r="122" spans="1:20" x14ac:dyDescent="0.2">
      <c r="A122" s="1" t="s">
        <v>381</v>
      </c>
      <c r="B122" s="1" t="s">
        <v>330</v>
      </c>
      <c r="C122" s="1" t="s">
        <v>307</v>
      </c>
      <c r="D122" s="21" t="s">
        <v>308</v>
      </c>
      <c r="E122" s="21" t="s">
        <v>309</v>
      </c>
      <c r="F122" s="21"/>
      <c r="G122" s="21"/>
      <c r="H122" s="21" t="s">
        <v>310</v>
      </c>
      <c r="I122" s="21"/>
      <c r="J122" s="21"/>
      <c r="K122" s="21" t="s">
        <v>311</v>
      </c>
      <c r="L122" s="21" t="s">
        <v>312</v>
      </c>
      <c r="M122" s="21" t="s">
        <v>373</v>
      </c>
      <c r="N122" s="21"/>
      <c r="O122" s="21"/>
      <c r="P122" s="21"/>
      <c r="Q122" s="21" t="s">
        <v>314</v>
      </c>
      <c r="R122" s="21" t="s">
        <v>20</v>
      </c>
      <c r="S122" s="22">
        <v>12870</v>
      </c>
      <c r="T122" s="23" t="s">
        <v>33</v>
      </c>
    </row>
    <row r="123" spans="1:20" x14ac:dyDescent="0.2">
      <c r="A123" s="1" t="s">
        <v>382</v>
      </c>
      <c r="B123" s="1" t="s">
        <v>332</v>
      </c>
      <c r="C123" s="1" t="s">
        <v>307</v>
      </c>
      <c r="D123" s="21" t="s">
        <v>308</v>
      </c>
      <c r="E123" s="21" t="s">
        <v>309</v>
      </c>
      <c r="F123" s="21"/>
      <c r="G123" s="21"/>
      <c r="H123" s="21" t="s">
        <v>310</v>
      </c>
      <c r="I123" s="21"/>
      <c r="J123" s="21"/>
      <c r="K123" s="21" t="s">
        <v>311</v>
      </c>
      <c r="L123" s="21" t="s">
        <v>312</v>
      </c>
      <c r="M123" s="21" t="s">
        <v>373</v>
      </c>
      <c r="N123" s="21"/>
      <c r="O123" s="21"/>
      <c r="P123" s="21"/>
      <c r="Q123" s="21" t="s">
        <v>314</v>
      </c>
      <c r="R123" s="21" t="s">
        <v>20</v>
      </c>
      <c r="S123" s="22">
        <v>23000</v>
      </c>
      <c r="T123" s="23" t="s">
        <v>33</v>
      </c>
    </row>
    <row r="124" spans="1:20" x14ac:dyDescent="0.2">
      <c r="A124" s="1" t="s">
        <v>383</v>
      </c>
      <c r="B124" s="1" t="s">
        <v>334</v>
      </c>
      <c r="C124" s="1" t="s">
        <v>307</v>
      </c>
      <c r="D124" s="21" t="s">
        <v>308</v>
      </c>
      <c r="E124" s="21" t="s">
        <v>309</v>
      </c>
      <c r="F124" s="21"/>
      <c r="G124" s="21"/>
      <c r="H124" s="21" t="s">
        <v>310</v>
      </c>
      <c r="I124" s="21"/>
      <c r="J124" s="21"/>
      <c r="K124" s="21" t="s">
        <v>311</v>
      </c>
      <c r="L124" s="21" t="s">
        <v>312</v>
      </c>
      <c r="M124" s="21" t="s">
        <v>373</v>
      </c>
      <c r="N124" s="21"/>
      <c r="O124" s="21"/>
      <c r="P124" s="21"/>
      <c r="Q124" s="21" t="s">
        <v>314</v>
      </c>
      <c r="R124" s="21" t="s">
        <v>20</v>
      </c>
      <c r="S124" s="22">
        <v>27310</v>
      </c>
      <c r="T124" s="23" t="s">
        <v>33</v>
      </c>
    </row>
    <row r="125" spans="1:20" x14ac:dyDescent="0.2">
      <c r="A125" s="1" t="s">
        <v>384</v>
      </c>
      <c r="B125" s="1" t="s">
        <v>336</v>
      </c>
      <c r="C125" s="1" t="s">
        <v>307</v>
      </c>
      <c r="D125" s="21" t="s">
        <v>308</v>
      </c>
      <c r="E125" s="21" t="s">
        <v>309</v>
      </c>
      <c r="F125" s="21"/>
      <c r="G125" s="21"/>
      <c r="H125" s="21" t="s">
        <v>310</v>
      </c>
      <c r="I125" s="21"/>
      <c r="J125" s="21"/>
      <c r="K125" s="21" t="s">
        <v>311</v>
      </c>
      <c r="L125" s="21" t="s">
        <v>312</v>
      </c>
      <c r="M125" s="21" t="s">
        <v>373</v>
      </c>
      <c r="N125" s="21"/>
      <c r="O125" s="21"/>
      <c r="P125" s="21"/>
      <c r="Q125" s="21" t="s">
        <v>314</v>
      </c>
      <c r="R125" s="21" t="s">
        <v>20</v>
      </c>
      <c r="S125" s="22" t="s">
        <v>340</v>
      </c>
      <c r="T125" s="23" t="s">
        <v>33</v>
      </c>
    </row>
    <row r="126" spans="1:20" x14ac:dyDescent="0.2">
      <c r="A126" s="1" t="s">
        <v>385</v>
      </c>
      <c r="B126" s="1" t="s">
        <v>338</v>
      </c>
      <c r="C126" s="1" t="s">
        <v>307</v>
      </c>
      <c r="D126" s="21" t="s">
        <v>308</v>
      </c>
      <c r="E126" s="21" t="s">
        <v>309</v>
      </c>
      <c r="F126" s="21"/>
      <c r="G126" s="21"/>
      <c r="H126" s="21" t="s">
        <v>310</v>
      </c>
      <c r="I126" s="21"/>
      <c r="J126" s="21"/>
      <c r="K126" s="21" t="s">
        <v>339</v>
      </c>
      <c r="L126" s="21" t="s">
        <v>312</v>
      </c>
      <c r="M126" s="21" t="s">
        <v>373</v>
      </c>
      <c r="N126" s="21"/>
      <c r="O126" s="21"/>
      <c r="P126" s="21"/>
      <c r="Q126" s="21" t="s">
        <v>314</v>
      </c>
      <c r="R126" s="21" t="s">
        <v>20</v>
      </c>
      <c r="S126" s="22" t="s">
        <v>340</v>
      </c>
      <c r="T126" s="23" t="s">
        <v>33</v>
      </c>
    </row>
    <row r="127" spans="1:20" x14ac:dyDescent="0.2">
      <c r="A127" s="1" t="s">
        <v>386</v>
      </c>
      <c r="B127" s="1" t="s">
        <v>342</v>
      </c>
      <c r="C127" s="1" t="s">
        <v>307</v>
      </c>
      <c r="D127" s="21" t="s">
        <v>308</v>
      </c>
      <c r="E127" s="21" t="s">
        <v>309</v>
      </c>
      <c r="F127" s="21"/>
      <c r="G127" s="21"/>
      <c r="H127" s="21" t="s">
        <v>310</v>
      </c>
      <c r="I127" s="21"/>
      <c r="J127" s="21"/>
      <c r="K127" s="21" t="s">
        <v>339</v>
      </c>
      <c r="L127" s="21" t="s">
        <v>312</v>
      </c>
      <c r="M127" s="21" t="s">
        <v>373</v>
      </c>
      <c r="N127" s="21"/>
      <c r="O127" s="21"/>
      <c r="P127" s="21"/>
      <c r="Q127" s="21" t="s">
        <v>314</v>
      </c>
      <c r="R127" s="21" t="s">
        <v>20</v>
      </c>
      <c r="S127" s="22" t="s">
        <v>340</v>
      </c>
      <c r="T127" s="23" t="s">
        <v>33</v>
      </c>
    </row>
    <row r="128" spans="1:20" x14ac:dyDescent="0.2">
      <c r="A128" s="1"/>
      <c r="B128" s="1"/>
      <c r="C128" s="1"/>
      <c r="D128" s="21"/>
      <c r="E128" s="21"/>
      <c r="F128" s="1"/>
      <c r="G128" s="1"/>
      <c r="H128" s="21"/>
      <c r="I128" s="1"/>
      <c r="J128" s="1"/>
      <c r="K128" s="21"/>
      <c r="L128" s="21"/>
      <c r="M128" s="21"/>
      <c r="N128" s="1"/>
      <c r="O128" s="1"/>
      <c r="P128" s="1"/>
      <c r="Q128" s="21"/>
      <c r="R128" s="21"/>
      <c r="S128" s="22"/>
      <c r="T128" s="23"/>
    </row>
    <row r="129" spans="1:20" x14ac:dyDescent="0.2">
      <c r="A129" s="1" t="s">
        <v>387</v>
      </c>
      <c r="B129" s="1" t="s">
        <v>345</v>
      </c>
      <c r="C129" s="1" t="s">
        <v>307</v>
      </c>
      <c r="D129" s="21" t="s">
        <v>308</v>
      </c>
      <c r="E129" s="21" t="s">
        <v>343</v>
      </c>
      <c r="F129" s="1"/>
      <c r="G129" s="1"/>
      <c r="H129" s="21" t="s">
        <v>310</v>
      </c>
      <c r="I129" s="1"/>
      <c r="J129" s="1"/>
      <c r="K129" s="21" t="s">
        <v>311</v>
      </c>
      <c r="L129" s="21" t="s">
        <v>312</v>
      </c>
      <c r="M129" s="21" t="s">
        <v>373</v>
      </c>
      <c r="N129" s="1"/>
      <c r="O129" s="1"/>
      <c r="P129" s="1"/>
      <c r="Q129" s="21" t="s">
        <v>314</v>
      </c>
      <c r="R129" s="21" t="s">
        <v>20</v>
      </c>
      <c r="S129" s="22" t="s">
        <v>340</v>
      </c>
      <c r="T129" s="23" t="s">
        <v>33</v>
      </c>
    </row>
    <row r="130" spans="1:20" x14ac:dyDescent="0.2">
      <c r="A130" s="1"/>
      <c r="B130" s="1"/>
      <c r="C130" s="1"/>
      <c r="D130" s="21"/>
      <c r="E130" s="21"/>
      <c r="F130" s="1"/>
      <c r="G130" s="1"/>
      <c r="H130" s="21"/>
      <c r="I130" s="1"/>
      <c r="J130" s="1"/>
      <c r="K130" s="21"/>
      <c r="L130" s="21"/>
      <c r="M130" s="21"/>
      <c r="N130" s="1"/>
      <c r="O130" s="1"/>
      <c r="P130" s="1"/>
      <c r="Q130" s="21"/>
      <c r="R130" s="21"/>
      <c r="S130" s="22"/>
      <c r="T130" s="23"/>
    </row>
    <row r="131" spans="1:20" x14ac:dyDescent="0.2">
      <c r="A131" s="1"/>
      <c r="B131" s="1"/>
      <c r="C131" s="1"/>
      <c r="D131" s="21"/>
      <c r="E131" s="21"/>
      <c r="F131" s="1"/>
      <c r="G131" s="1"/>
      <c r="H131" s="21"/>
      <c r="I131" s="1"/>
      <c r="J131" s="1"/>
      <c r="K131" s="21"/>
      <c r="L131" s="21"/>
      <c r="M131" s="21"/>
      <c r="N131" s="1"/>
      <c r="O131" s="1"/>
      <c r="P131" s="1"/>
      <c r="Q131" s="21"/>
      <c r="R131" s="21"/>
      <c r="S131" s="22"/>
      <c r="T131" s="23"/>
    </row>
    <row r="132" spans="1:20" x14ac:dyDescent="0.2">
      <c r="A132" s="1" t="s">
        <v>388</v>
      </c>
      <c r="B132" s="1" t="s">
        <v>347</v>
      </c>
      <c r="C132" s="1" t="s">
        <v>307</v>
      </c>
      <c r="D132" s="21" t="s">
        <v>308</v>
      </c>
      <c r="E132" s="21" t="s">
        <v>343</v>
      </c>
      <c r="F132" s="1"/>
      <c r="G132" s="1"/>
      <c r="H132" s="21" t="s">
        <v>310</v>
      </c>
      <c r="I132" s="1"/>
      <c r="J132" s="1"/>
      <c r="K132" s="21" t="s">
        <v>311</v>
      </c>
      <c r="L132" s="21" t="s">
        <v>312</v>
      </c>
      <c r="M132" s="21" t="s">
        <v>373</v>
      </c>
      <c r="N132" s="1"/>
      <c r="O132" s="1"/>
      <c r="P132" s="1"/>
      <c r="Q132" s="21" t="s">
        <v>314</v>
      </c>
      <c r="R132" s="21" t="s">
        <v>20</v>
      </c>
      <c r="S132" s="22">
        <v>2450</v>
      </c>
      <c r="T132" s="23" t="s">
        <v>33</v>
      </c>
    </row>
    <row r="133" spans="1:20" x14ac:dyDescent="0.2">
      <c r="A133" s="1"/>
      <c r="B133" s="1"/>
      <c r="C133" s="1"/>
      <c r="D133" s="21"/>
      <c r="E133" s="21"/>
      <c r="F133" s="1"/>
      <c r="G133" s="1"/>
      <c r="H133" s="21"/>
      <c r="I133" s="1"/>
      <c r="J133" s="1"/>
      <c r="K133" s="21"/>
      <c r="L133" s="21"/>
      <c r="M133" s="21"/>
      <c r="N133" s="1"/>
      <c r="O133" s="1"/>
      <c r="P133" s="1"/>
      <c r="Q133" s="21"/>
      <c r="R133" s="21"/>
      <c r="S133" s="22"/>
      <c r="T133" s="23"/>
    </row>
    <row r="134" spans="1:20" x14ac:dyDescent="0.2">
      <c r="A134" s="1"/>
      <c r="B134" s="1"/>
      <c r="C134" s="1"/>
      <c r="D134" s="21"/>
      <c r="E134" s="21"/>
      <c r="F134" s="1"/>
      <c r="G134" s="1"/>
      <c r="H134" s="21"/>
      <c r="I134" s="1"/>
      <c r="J134" s="1"/>
      <c r="K134" s="21"/>
      <c r="L134" s="21"/>
      <c r="M134" s="21"/>
      <c r="N134" s="1"/>
      <c r="O134" s="1"/>
      <c r="P134" s="1"/>
      <c r="Q134" s="21"/>
      <c r="R134" s="21"/>
      <c r="S134" s="22"/>
      <c r="T134" s="23"/>
    </row>
    <row r="135" spans="1:20" x14ac:dyDescent="0.2">
      <c r="A135" s="1" t="s">
        <v>389</v>
      </c>
      <c r="B135" s="1" t="s">
        <v>349</v>
      </c>
      <c r="C135" s="1" t="s">
        <v>307</v>
      </c>
      <c r="D135" s="21" t="s">
        <v>308</v>
      </c>
      <c r="E135" s="21" t="s">
        <v>343</v>
      </c>
      <c r="F135" s="1"/>
      <c r="G135" s="1"/>
      <c r="H135" s="21" t="s">
        <v>310</v>
      </c>
      <c r="I135" s="1"/>
      <c r="J135" s="1"/>
      <c r="K135" s="21" t="s">
        <v>311</v>
      </c>
      <c r="L135" s="21" t="s">
        <v>312</v>
      </c>
      <c r="M135" s="21" t="s">
        <v>373</v>
      </c>
      <c r="N135" s="1"/>
      <c r="O135" s="1"/>
      <c r="P135" s="1"/>
      <c r="Q135" s="21" t="s">
        <v>314</v>
      </c>
      <c r="R135" s="21" t="s">
        <v>20</v>
      </c>
      <c r="S135" s="22">
        <v>3150</v>
      </c>
      <c r="T135" s="23" t="s">
        <v>33</v>
      </c>
    </row>
    <row r="136" spans="1:20" x14ac:dyDescent="0.2">
      <c r="A136" s="1"/>
      <c r="B136" s="1"/>
      <c r="C136" s="1"/>
      <c r="D136" s="21"/>
      <c r="E136" s="21"/>
      <c r="F136" s="1"/>
      <c r="G136" s="1"/>
      <c r="H136" s="21"/>
      <c r="I136" s="1"/>
      <c r="J136" s="1"/>
      <c r="K136" s="21"/>
      <c r="L136" s="21"/>
      <c r="M136" s="21"/>
      <c r="N136" s="1"/>
      <c r="O136" s="1"/>
      <c r="P136" s="1"/>
      <c r="Q136" s="21"/>
      <c r="R136" s="21"/>
      <c r="S136" s="22"/>
      <c r="T136" s="23"/>
    </row>
    <row r="137" spans="1:20" x14ac:dyDescent="0.2">
      <c r="A137" s="1"/>
      <c r="B137" s="1"/>
      <c r="C137" s="1"/>
      <c r="D137" s="21"/>
      <c r="E137" s="21"/>
      <c r="F137" s="1"/>
      <c r="G137" s="1"/>
      <c r="H137" s="21"/>
      <c r="I137" s="1"/>
      <c r="J137" s="1"/>
      <c r="K137" s="21"/>
      <c r="L137" s="21"/>
      <c r="M137" s="21"/>
      <c r="N137" s="1"/>
      <c r="O137" s="1"/>
      <c r="P137" s="1"/>
      <c r="Q137" s="21"/>
      <c r="R137" s="21"/>
      <c r="S137" s="22"/>
      <c r="T137" s="23"/>
    </row>
    <row r="138" spans="1:20" x14ac:dyDescent="0.2">
      <c r="A138" s="1" t="s">
        <v>390</v>
      </c>
      <c r="B138" s="1" t="s">
        <v>351</v>
      </c>
      <c r="C138" s="1" t="s">
        <v>307</v>
      </c>
      <c r="D138" s="21" t="s">
        <v>308</v>
      </c>
      <c r="E138" s="21" t="s">
        <v>343</v>
      </c>
      <c r="F138" s="1"/>
      <c r="G138" s="1"/>
      <c r="H138" s="21" t="s">
        <v>310</v>
      </c>
      <c r="I138" s="1"/>
      <c r="J138" s="1"/>
      <c r="K138" s="21" t="s">
        <v>311</v>
      </c>
      <c r="L138" s="21" t="s">
        <v>312</v>
      </c>
      <c r="M138" s="21" t="s">
        <v>373</v>
      </c>
      <c r="N138" s="1"/>
      <c r="O138" s="1"/>
      <c r="P138" s="1"/>
      <c r="Q138" s="21" t="s">
        <v>314</v>
      </c>
      <c r="R138" s="21" t="s">
        <v>20</v>
      </c>
      <c r="S138" s="22">
        <v>3570</v>
      </c>
      <c r="T138" s="23" t="s">
        <v>33</v>
      </c>
    </row>
    <row r="139" spans="1:20" x14ac:dyDescent="0.2">
      <c r="A139" s="1"/>
      <c r="B139" s="1"/>
      <c r="C139" s="1"/>
      <c r="D139" s="21"/>
      <c r="E139" s="21"/>
      <c r="F139" s="1"/>
      <c r="G139" s="1"/>
      <c r="H139" s="21"/>
      <c r="I139" s="1"/>
      <c r="J139" s="1"/>
      <c r="K139" s="21"/>
      <c r="L139" s="21"/>
      <c r="M139" s="21"/>
      <c r="N139" s="1"/>
      <c r="O139" s="1"/>
      <c r="P139" s="1"/>
      <c r="Q139" s="21"/>
      <c r="R139" s="21"/>
      <c r="S139" s="22"/>
      <c r="T139" s="23"/>
    </row>
    <row r="140" spans="1:20" x14ac:dyDescent="0.2">
      <c r="A140" s="1"/>
      <c r="B140" s="1"/>
      <c r="C140" s="1"/>
      <c r="D140" s="21"/>
      <c r="E140" s="21"/>
      <c r="F140" s="1"/>
      <c r="G140" s="1"/>
      <c r="H140" s="21"/>
      <c r="I140" s="1"/>
      <c r="J140" s="1"/>
      <c r="K140" s="21"/>
      <c r="L140" s="21"/>
      <c r="M140" s="21"/>
      <c r="N140" s="1"/>
      <c r="O140" s="1"/>
      <c r="P140" s="1"/>
      <c r="Q140" s="21"/>
      <c r="R140" s="21"/>
      <c r="S140" s="22"/>
      <c r="T140" s="23"/>
    </row>
    <row r="141" spans="1:20" x14ac:dyDescent="0.2">
      <c r="A141" s="1" t="s">
        <v>391</v>
      </c>
      <c r="B141" s="1" t="s">
        <v>353</v>
      </c>
      <c r="C141" s="1" t="s">
        <v>307</v>
      </c>
      <c r="D141" s="21" t="s">
        <v>308</v>
      </c>
      <c r="E141" s="21" t="s">
        <v>343</v>
      </c>
      <c r="F141" s="1"/>
      <c r="G141" s="1"/>
      <c r="H141" s="21" t="s">
        <v>310</v>
      </c>
      <c r="I141" s="1"/>
      <c r="J141" s="1"/>
      <c r="K141" s="21" t="s">
        <v>311</v>
      </c>
      <c r="L141" s="21" t="s">
        <v>312</v>
      </c>
      <c r="M141" s="21" t="s">
        <v>373</v>
      </c>
      <c r="N141" s="1"/>
      <c r="O141" s="1"/>
      <c r="P141" s="1"/>
      <c r="Q141" s="21" t="s">
        <v>314</v>
      </c>
      <c r="R141" s="21" t="s">
        <v>20</v>
      </c>
      <c r="S141" s="22">
        <v>5050</v>
      </c>
      <c r="T141" s="23" t="s">
        <v>33</v>
      </c>
    </row>
    <row r="142" spans="1:20" x14ac:dyDescent="0.2">
      <c r="A142" s="1"/>
      <c r="B142" s="1"/>
      <c r="C142" s="1"/>
      <c r="D142" s="21"/>
      <c r="E142" s="21"/>
      <c r="F142" s="1"/>
      <c r="G142" s="1"/>
      <c r="H142" s="21"/>
      <c r="I142" s="1"/>
      <c r="J142" s="1"/>
      <c r="K142" s="21"/>
      <c r="L142" s="21"/>
      <c r="M142" s="21"/>
      <c r="N142" s="1"/>
      <c r="O142" s="1"/>
      <c r="P142" s="1"/>
      <c r="Q142" s="21"/>
      <c r="R142" s="21"/>
      <c r="S142" s="22"/>
      <c r="T142" s="23"/>
    </row>
    <row r="143" spans="1:20" x14ac:dyDescent="0.2">
      <c r="A143" s="1"/>
      <c r="B143" s="1"/>
      <c r="C143" s="1"/>
      <c r="D143" s="21"/>
      <c r="E143" s="21"/>
      <c r="F143" s="1"/>
      <c r="G143" s="1"/>
      <c r="H143" s="21"/>
      <c r="I143" s="1"/>
      <c r="J143" s="1"/>
      <c r="K143" s="21"/>
      <c r="L143" s="21"/>
      <c r="M143" s="21"/>
      <c r="N143" s="1"/>
      <c r="O143" s="1"/>
      <c r="P143" s="1"/>
      <c r="Q143" s="21"/>
      <c r="R143" s="21"/>
      <c r="S143" s="22"/>
      <c r="T143" s="23"/>
    </row>
    <row r="144" spans="1:20" x14ac:dyDescent="0.2">
      <c r="A144" s="1" t="s">
        <v>392</v>
      </c>
      <c r="B144" s="1" t="s">
        <v>355</v>
      </c>
      <c r="C144" s="1" t="s">
        <v>307</v>
      </c>
      <c r="D144" s="21" t="s">
        <v>308</v>
      </c>
      <c r="E144" s="21" t="s">
        <v>343</v>
      </c>
      <c r="F144" s="1"/>
      <c r="G144" s="1"/>
      <c r="H144" s="21" t="s">
        <v>310</v>
      </c>
      <c r="I144" s="1"/>
      <c r="J144" s="1"/>
      <c r="K144" s="21" t="s">
        <v>311</v>
      </c>
      <c r="L144" s="21" t="s">
        <v>312</v>
      </c>
      <c r="M144" s="21" t="s">
        <v>373</v>
      </c>
      <c r="N144" s="1"/>
      <c r="O144" s="1"/>
      <c r="P144" s="1"/>
      <c r="Q144" s="21" t="s">
        <v>314</v>
      </c>
      <c r="R144" s="21" t="s">
        <v>20</v>
      </c>
      <c r="S144" s="22">
        <v>6650</v>
      </c>
      <c r="T144" s="23" t="s">
        <v>33</v>
      </c>
    </row>
    <row r="145" spans="1:20" x14ac:dyDescent="0.2">
      <c r="A145" s="1"/>
      <c r="B145" s="1"/>
      <c r="C145" s="1"/>
      <c r="D145" s="21"/>
      <c r="E145" s="21"/>
      <c r="F145" s="1"/>
      <c r="G145" s="1"/>
      <c r="H145" s="21"/>
      <c r="I145" s="1"/>
      <c r="J145" s="1"/>
      <c r="K145" s="21"/>
      <c r="L145" s="21"/>
      <c r="M145" s="21"/>
      <c r="N145" s="1"/>
      <c r="O145" s="1"/>
      <c r="P145" s="1"/>
      <c r="Q145" s="21"/>
      <c r="R145" s="21"/>
      <c r="S145" s="22"/>
      <c r="T145" s="23"/>
    </row>
    <row r="146" spans="1:20" x14ac:dyDescent="0.2">
      <c r="A146" s="1"/>
      <c r="B146" s="1"/>
      <c r="C146" s="1"/>
      <c r="D146" s="21"/>
      <c r="E146" s="21"/>
      <c r="F146" s="1"/>
      <c r="G146" s="1"/>
      <c r="H146" s="21"/>
      <c r="I146" s="1"/>
      <c r="J146" s="1"/>
      <c r="K146" s="21"/>
      <c r="L146" s="21"/>
      <c r="M146" s="21"/>
      <c r="N146" s="1"/>
      <c r="O146" s="1"/>
      <c r="P146" s="1"/>
      <c r="Q146" s="21"/>
      <c r="R146" s="21"/>
      <c r="S146" s="22"/>
      <c r="T146" s="23"/>
    </row>
    <row r="147" spans="1:20" x14ac:dyDescent="0.2">
      <c r="A147" s="1" t="s">
        <v>393</v>
      </c>
      <c r="B147" s="1" t="s">
        <v>357</v>
      </c>
      <c r="C147" s="1" t="s">
        <v>307</v>
      </c>
      <c r="D147" s="21" t="s">
        <v>308</v>
      </c>
      <c r="E147" s="21" t="s">
        <v>343</v>
      </c>
      <c r="F147" s="1"/>
      <c r="G147" s="1"/>
      <c r="H147" s="21" t="s">
        <v>310</v>
      </c>
      <c r="I147" s="1"/>
      <c r="J147" s="1"/>
      <c r="K147" s="21" t="s">
        <v>311</v>
      </c>
      <c r="L147" s="21" t="s">
        <v>312</v>
      </c>
      <c r="M147" s="21" t="s">
        <v>373</v>
      </c>
      <c r="N147" s="1"/>
      <c r="O147" s="1"/>
      <c r="P147" s="1"/>
      <c r="Q147" s="21" t="s">
        <v>314</v>
      </c>
      <c r="R147" s="21" t="s">
        <v>20</v>
      </c>
      <c r="S147" s="22">
        <v>8300</v>
      </c>
      <c r="T147" s="23" t="s">
        <v>33</v>
      </c>
    </row>
    <row r="148" spans="1:20" x14ac:dyDescent="0.2">
      <c r="A148" s="1"/>
      <c r="B148" s="1"/>
      <c r="C148" s="1"/>
      <c r="D148" s="21"/>
      <c r="E148" s="21"/>
      <c r="F148" s="1"/>
      <c r="G148" s="1"/>
      <c r="H148" s="21"/>
      <c r="I148" s="1"/>
      <c r="J148" s="1"/>
      <c r="K148" s="21"/>
      <c r="L148" s="21"/>
      <c r="M148" s="21"/>
      <c r="N148" s="1"/>
      <c r="O148" s="1"/>
      <c r="P148" s="1"/>
      <c r="Q148" s="21"/>
      <c r="R148" s="21"/>
      <c r="S148" s="22"/>
      <c r="T148" s="23"/>
    </row>
    <row r="149" spans="1:20" x14ac:dyDescent="0.2">
      <c r="A149" s="1"/>
      <c r="B149" s="1"/>
      <c r="C149" s="1"/>
      <c r="D149" s="21"/>
      <c r="E149" s="21"/>
      <c r="F149" s="1"/>
      <c r="G149" s="1"/>
      <c r="H149" s="21"/>
      <c r="I149" s="1"/>
      <c r="J149" s="1"/>
      <c r="K149" s="21"/>
      <c r="L149" s="21"/>
      <c r="M149" s="21"/>
      <c r="N149" s="1"/>
      <c r="O149" s="1"/>
      <c r="P149" s="1"/>
      <c r="Q149" s="21"/>
      <c r="R149" s="21"/>
      <c r="S149" s="22"/>
      <c r="T149" s="23"/>
    </row>
    <row r="150" spans="1:20" x14ac:dyDescent="0.2">
      <c r="A150" s="1" t="s">
        <v>394</v>
      </c>
      <c r="B150" s="1" t="s">
        <v>359</v>
      </c>
      <c r="C150" s="1" t="s">
        <v>307</v>
      </c>
      <c r="D150" s="21" t="s">
        <v>308</v>
      </c>
      <c r="E150" s="21" t="s">
        <v>343</v>
      </c>
      <c r="F150" s="1"/>
      <c r="G150" s="1"/>
      <c r="H150" s="21" t="s">
        <v>310</v>
      </c>
      <c r="I150" s="1"/>
      <c r="J150" s="1"/>
      <c r="K150" s="21" t="s">
        <v>311</v>
      </c>
      <c r="L150" s="21" t="s">
        <v>312</v>
      </c>
      <c r="M150" s="21" t="s">
        <v>373</v>
      </c>
      <c r="N150" s="1"/>
      <c r="O150" s="1"/>
      <c r="P150" s="1"/>
      <c r="Q150" s="21" t="s">
        <v>314</v>
      </c>
      <c r="R150" s="21" t="s">
        <v>20</v>
      </c>
      <c r="S150" s="22">
        <v>12220</v>
      </c>
      <c r="T150" s="23" t="s">
        <v>33</v>
      </c>
    </row>
    <row r="151" spans="1:20" x14ac:dyDescent="0.2">
      <c r="A151" s="1"/>
      <c r="B151" s="1"/>
      <c r="C151" s="1"/>
      <c r="D151" s="21"/>
      <c r="E151" s="21"/>
      <c r="F151" s="1"/>
      <c r="G151" s="1"/>
      <c r="H151" s="21"/>
      <c r="I151" s="1"/>
      <c r="J151" s="1"/>
      <c r="K151" s="21"/>
      <c r="L151" s="21"/>
      <c r="M151" s="21"/>
      <c r="N151" s="1"/>
      <c r="O151" s="1"/>
      <c r="P151" s="1"/>
      <c r="Q151" s="21"/>
      <c r="R151" s="21"/>
      <c r="S151" s="22"/>
      <c r="T151" s="23"/>
    </row>
    <row r="152" spans="1:20" x14ac:dyDescent="0.2">
      <c r="A152" s="1"/>
      <c r="B152" s="1"/>
      <c r="C152" s="1"/>
      <c r="D152" s="21"/>
      <c r="E152" s="21"/>
      <c r="F152" s="1"/>
      <c r="G152" s="1"/>
      <c r="H152" s="21"/>
      <c r="I152" s="1"/>
      <c r="J152" s="1"/>
      <c r="K152" s="21"/>
      <c r="L152" s="21"/>
      <c r="M152" s="21"/>
      <c r="N152" s="1"/>
      <c r="O152" s="1"/>
      <c r="P152" s="1"/>
      <c r="Q152" s="21"/>
      <c r="R152" s="21"/>
      <c r="S152" s="22"/>
      <c r="T152" s="23"/>
    </row>
    <row r="153" spans="1:20" x14ac:dyDescent="0.2">
      <c r="A153" s="1" t="s">
        <v>395</v>
      </c>
      <c r="B153" s="1" t="s">
        <v>361</v>
      </c>
      <c r="C153" s="1" t="s">
        <v>307</v>
      </c>
      <c r="D153" s="21" t="s">
        <v>308</v>
      </c>
      <c r="E153" s="21" t="s">
        <v>343</v>
      </c>
      <c r="F153" s="1"/>
      <c r="G153" s="1"/>
      <c r="H153" s="21" t="s">
        <v>310</v>
      </c>
      <c r="I153" s="1"/>
      <c r="J153" s="1"/>
      <c r="K153" s="21" t="s">
        <v>311</v>
      </c>
      <c r="L153" s="21" t="s">
        <v>312</v>
      </c>
      <c r="M153" s="21" t="s">
        <v>373</v>
      </c>
      <c r="N153" s="1"/>
      <c r="O153" s="1"/>
      <c r="P153" s="1"/>
      <c r="Q153" s="21" t="s">
        <v>314</v>
      </c>
      <c r="R153" s="21" t="s">
        <v>20</v>
      </c>
      <c r="S153" s="22">
        <v>21030</v>
      </c>
      <c r="T153" s="23" t="s">
        <v>33</v>
      </c>
    </row>
    <row r="154" spans="1:20" x14ac:dyDescent="0.2">
      <c r="A154" s="1"/>
      <c r="B154" s="1"/>
      <c r="C154" s="1"/>
      <c r="D154" s="21"/>
      <c r="E154" s="21"/>
      <c r="F154" s="1"/>
      <c r="G154" s="1"/>
      <c r="H154" s="21"/>
      <c r="I154" s="1"/>
      <c r="J154" s="1"/>
      <c r="K154" s="21"/>
      <c r="L154" s="21"/>
      <c r="M154" s="21"/>
      <c r="N154" s="1"/>
      <c r="O154" s="1"/>
      <c r="P154" s="1"/>
      <c r="Q154" s="21"/>
      <c r="R154" s="21"/>
      <c r="S154" s="22"/>
      <c r="T154" s="23"/>
    </row>
    <row r="155" spans="1:20" x14ac:dyDescent="0.2">
      <c r="A155" s="1"/>
      <c r="B155" s="1"/>
      <c r="C155" s="1"/>
      <c r="D155" s="21"/>
      <c r="E155" s="21"/>
      <c r="F155" s="1"/>
      <c r="G155" s="1"/>
      <c r="H155" s="21"/>
      <c r="I155" s="1"/>
      <c r="J155" s="1"/>
      <c r="K155" s="21"/>
      <c r="L155" s="21"/>
      <c r="M155" s="21"/>
      <c r="N155" s="1"/>
      <c r="O155" s="1"/>
      <c r="P155" s="1"/>
      <c r="Q155" s="21"/>
      <c r="R155" s="21"/>
      <c r="S155" s="22"/>
      <c r="T155" s="23"/>
    </row>
    <row r="156" spans="1:20" x14ac:dyDescent="0.2">
      <c r="A156" s="1" t="s">
        <v>396</v>
      </c>
      <c r="B156" s="1" t="s">
        <v>363</v>
      </c>
      <c r="C156" s="1" t="s">
        <v>307</v>
      </c>
      <c r="D156" s="21" t="s">
        <v>308</v>
      </c>
      <c r="E156" s="21" t="s">
        <v>343</v>
      </c>
      <c r="F156" s="1"/>
      <c r="G156" s="1"/>
      <c r="H156" s="21" t="s">
        <v>310</v>
      </c>
      <c r="I156" s="1"/>
      <c r="J156" s="1"/>
      <c r="K156" s="21" t="s">
        <v>311</v>
      </c>
      <c r="L156" s="21" t="s">
        <v>312</v>
      </c>
      <c r="M156" s="21" t="s">
        <v>373</v>
      </c>
      <c r="N156" s="1"/>
      <c r="O156" s="1"/>
      <c r="P156" s="1"/>
      <c r="Q156" s="21" t="s">
        <v>314</v>
      </c>
      <c r="R156" s="21" t="s">
        <v>20</v>
      </c>
      <c r="S156" s="22">
        <v>22320</v>
      </c>
      <c r="T156" s="23" t="s">
        <v>33</v>
      </c>
    </row>
    <row r="157" spans="1:20" x14ac:dyDescent="0.2">
      <c r="A157" s="1"/>
      <c r="B157" s="1"/>
      <c r="C157" s="1"/>
      <c r="D157" s="21"/>
      <c r="E157" s="21"/>
      <c r="F157" s="1"/>
      <c r="G157" s="1"/>
      <c r="H157" s="21"/>
      <c r="I157" s="1"/>
      <c r="J157" s="1"/>
      <c r="K157" s="21"/>
      <c r="L157" s="21"/>
      <c r="M157" s="21"/>
      <c r="N157" s="1"/>
      <c r="O157" s="1"/>
      <c r="P157" s="1"/>
      <c r="Q157" s="21"/>
      <c r="R157" s="21"/>
      <c r="S157" s="22"/>
      <c r="T157" s="23"/>
    </row>
    <row r="158" spans="1:20" x14ac:dyDescent="0.2">
      <c r="A158" s="1"/>
      <c r="B158" s="1"/>
      <c r="C158" s="1"/>
      <c r="D158" s="21"/>
      <c r="E158" s="21"/>
      <c r="F158" s="1"/>
      <c r="G158" s="1"/>
      <c r="H158" s="21"/>
      <c r="I158" s="1"/>
      <c r="J158" s="1"/>
      <c r="K158" s="21"/>
      <c r="L158" s="21"/>
      <c r="M158" s="21"/>
      <c r="N158" s="1"/>
      <c r="O158" s="1"/>
      <c r="P158" s="1"/>
      <c r="Q158" s="21"/>
      <c r="R158" s="21"/>
      <c r="S158" s="22"/>
      <c r="T158" s="23"/>
    </row>
    <row r="159" spans="1:20" x14ac:dyDescent="0.2">
      <c r="A159" s="1" t="s">
        <v>397</v>
      </c>
      <c r="B159" s="1" t="s">
        <v>365</v>
      </c>
      <c r="C159" s="1" t="s">
        <v>307</v>
      </c>
      <c r="D159" s="21" t="s">
        <v>308</v>
      </c>
      <c r="E159" s="21" t="s">
        <v>343</v>
      </c>
      <c r="F159" s="1"/>
      <c r="G159" s="1"/>
      <c r="H159" s="21" t="s">
        <v>310</v>
      </c>
      <c r="I159" s="1"/>
      <c r="J159" s="1"/>
      <c r="K159" s="21" t="s">
        <v>311</v>
      </c>
      <c r="L159" s="21" t="s">
        <v>312</v>
      </c>
      <c r="M159" s="21" t="s">
        <v>373</v>
      </c>
      <c r="N159" s="1"/>
      <c r="O159" s="1"/>
      <c r="P159" s="1"/>
      <c r="Q159" s="21" t="s">
        <v>314</v>
      </c>
      <c r="R159" s="21" t="s">
        <v>20</v>
      </c>
      <c r="S159" s="22">
        <v>31500</v>
      </c>
      <c r="T159" s="23" t="s">
        <v>33</v>
      </c>
    </row>
    <row r="160" spans="1:20" x14ac:dyDescent="0.2">
      <c r="A160" s="1"/>
      <c r="B160" s="1"/>
      <c r="C160" s="1"/>
      <c r="D160" s="21"/>
      <c r="E160" s="21"/>
      <c r="F160" s="1"/>
      <c r="G160" s="1"/>
      <c r="H160" s="21"/>
      <c r="I160" s="1"/>
      <c r="J160" s="1"/>
      <c r="K160" s="21"/>
      <c r="L160" s="21"/>
      <c r="M160" s="21"/>
      <c r="N160" s="1"/>
      <c r="O160" s="1"/>
      <c r="P160" s="1"/>
      <c r="Q160" s="21"/>
      <c r="R160" s="21"/>
      <c r="S160" s="22"/>
      <c r="T160" s="23"/>
    </row>
    <row r="161" spans="1:20" x14ac:dyDescent="0.2">
      <c r="A161" s="1"/>
      <c r="B161" s="1"/>
      <c r="C161" s="1"/>
      <c r="D161" s="21"/>
      <c r="E161" s="21"/>
      <c r="F161" s="1"/>
      <c r="G161" s="1"/>
      <c r="H161" s="21"/>
      <c r="I161" s="1"/>
      <c r="J161" s="1"/>
      <c r="K161" s="21"/>
      <c r="L161" s="21"/>
      <c r="M161" s="21"/>
      <c r="N161" s="1"/>
      <c r="O161" s="1"/>
      <c r="P161" s="1"/>
      <c r="Q161" s="21"/>
      <c r="R161" s="21"/>
      <c r="S161" s="22"/>
      <c r="T161" s="23"/>
    </row>
    <row r="162" spans="1:20" x14ac:dyDescent="0.2">
      <c r="A162" s="1" t="s">
        <v>398</v>
      </c>
      <c r="B162" s="1" t="s">
        <v>367</v>
      </c>
      <c r="C162" s="1" t="s">
        <v>307</v>
      </c>
      <c r="D162" s="21" t="s">
        <v>308</v>
      </c>
      <c r="E162" s="21" t="s">
        <v>343</v>
      </c>
      <c r="F162" s="1"/>
      <c r="G162" s="1"/>
      <c r="H162" s="21" t="s">
        <v>310</v>
      </c>
      <c r="I162" s="1"/>
      <c r="J162" s="1"/>
      <c r="K162" s="21" t="s">
        <v>311</v>
      </c>
      <c r="L162" s="21" t="s">
        <v>312</v>
      </c>
      <c r="M162" s="21" t="s">
        <v>373</v>
      </c>
      <c r="N162" s="1"/>
      <c r="O162" s="1"/>
      <c r="P162" s="1"/>
      <c r="Q162" s="21" t="s">
        <v>314</v>
      </c>
      <c r="R162" s="21" t="s">
        <v>20</v>
      </c>
      <c r="S162" s="22">
        <v>42720</v>
      </c>
      <c r="T162" s="23" t="s">
        <v>33</v>
      </c>
    </row>
    <row r="163" spans="1:20" x14ac:dyDescent="0.2">
      <c r="A163" s="1"/>
      <c r="B163" s="1"/>
      <c r="C163" s="1"/>
      <c r="D163" s="21"/>
      <c r="E163" s="21"/>
      <c r="F163" s="1"/>
      <c r="G163" s="1"/>
      <c r="H163" s="21"/>
      <c r="I163" s="1"/>
      <c r="J163" s="1"/>
      <c r="K163" s="21"/>
      <c r="L163" s="21"/>
      <c r="M163" s="21"/>
      <c r="N163" s="1"/>
      <c r="O163" s="1"/>
      <c r="P163" s="1"/>
      <c r="Q163" s="21"/>
      <c r="R163" s="21"/>
      <c r="S163" s="22"/>
      <c r="T163" s="23"/>
    </row>
    <row r="164" spans="1:20" x14ac:dyDescent="0.2">
      <c r="A164" s="1"/>
      <c r="B164" s="1"/>
      <c r="C164" s="1"/>
      <c r="D164" s="21"/>
      <c r="E164" s="21"/>
      <c r="F164" s="1"/>
      <c r="G164" s="1"/>
      <c r="H164" s="21"/>
      <c r="I164" s="1"/>
      <c r="J164" s="1"/>
      <c r="K164" s="21"/>
      <c r="L164" s="21"/>
      <c r="M164" s="21"/>
      <c r="N164" s="1"/>
      <c r="O164" s="1"/>
      <c r="P164" s="1"/>
      <c r="Q164" s="21"/>
      <c r="R164" s="21"/>
      <c r="S164" s="22"/>
      <c r="T164" s="23"/>
    </row>
    <row r="165" spans="1:20" x14ac:dyDescent="0.2">
      <c r="A165" s="1" t="s">
        <v>399</v>
      </c>
      <c r="B165" s="1" t="s">
        <v>369</v>
      </c>
      <c r="C165" s="1" t="s">
        <v>307</v>
      </c>
      <c r="D165" s="21" t="s">
        <v>308</v>
      </c>
      <c r="E165" s="21" t="s">
        <v>343</v>
      </c>
      <c r="F165" s="1"/>
      <c r="G165" s="1"/>
      <c r="H165" s="21" t="s">
        <v>310</v>
      </c>
      <c r="I165" s="1"/>
      <c r="J165" s="1"/>
      <c r="K165" s="21" t="s">
        <v>339</v>
      </c>
      <c r="L165" s="21" t="s">
        <v>312</v>
      </c>
      <c r="M165" s="21" t="s">
        <v>373</v>
      </c>
      <c r="N165" s="1"/>
      <c r="O165" s="1"/>
      <c r="P165" s="1"/>
      <c r="Q165" s="21" t="s">
        <v>314</v>
      </c>
      <c r="R165" s="21" t="s">
        <v>20</v>
      </c>
      <c r="S165" s="22">
        <v>75200</v>
      </c>
      <c r="T165" s="23" t="s">
        <v>33</v>
      </c>
    </row>
    <row r="166" spans="1:20" x14ac:dyDescent="0.2">
      <c r="A166" s="1"/>
      <c r="B166" s="1"/>
      <c r="C166" s="1"/>
      <c r="D166" s="21"/>
      <c r="E166" s="21"/>
      <c r="F166" s="1"/>
      <c r="G166" s="1"/>
      <c r="H166" s="21"/>
      <c r="I166" s="1"/>
      <c r="J166" s="1"/>
      <c r="K166" s="21"/>
      <c r="L166" s="21"/>
      <c r="M166" s="21"/>
      <c r="N166" s="1"/>
      <c r="O166" s="1"/>
      <c r="P166" s="1"/>
      <c r="Q166" s="21"/>
      <c r="R166" s="21"/>
      <c r="S166" s="22"/>
      <c r="T166" s="23"/>
    </row>
    <row r="167" spans="1:20" x14ac:dyDescent="0.2">
      <c r="A167" s="1"/>
      <c r="B167" s="1"/>
      <c r="C167" s="1"/>
      <c r="D167" s="21"/>
      <c r="E167" s="21"/>
      <c r="F167" s="1"/>
      <c r="G167" s="1"/>
      <c r="H167" s="21"/>
      <c r="I167" s="1"/>
      <c r="J167" s="1"/>
      <c r="K167" s="21"/>
      <c r="L167" s="21"/>
      <c r="M167" s="21"/>
      <c r="N167" s="1"/>
      <c r="O167" s="1"/>
      <c r="P167" s="1"/>
      <c r="Q167" s="21"/>
      <c r="R167" s="21"/>
      <c r="S167" s="22"/>
      <c r="T167" s="23"/>
    </row>
    <row r="168" spans="1:20" x14ac:dyDescent="0.2">
      <c r="A168" s="1" t="s">
        <v>400</v>
      </c>
      <c r="B168" s="1" t="s">
        <v>371</v>
      </c>
      <c r="C168" s="1" t="s">
        <v>307</v>
      </c>
      <c r="D168" s="21" t="s">
        <v>308</v>
      </c>
      <c r="E168" s="21" t="s">
        <v>343</v>
      </c>
      <c r="F168" s="1"/>
      <c r="G168" s="1"/>
      <c r="H168" s="21" t="s">
        <v>310</v>
      </c>
      <c r="I168" s="1"/>
      <c r="J168" s="1"/>
      <c r="K168" s="21" t="s">
        <v>339</v>
      </c>
      <c r="L168" s="21" t="s">
        <v>312</v>
      </c>
      <c r="M168" s="21" t="s">
        <v>373</v>
      </c>
      <c r="N168" s="1"/>
      <c r="O168" s="1"/>
      <c r="P168" s="1"/>
      <c r="Q168" s="21" t="s">
        <v>314</v>
      </c>
      <c r="R168" s="21" t="s">
        <v>20</v>
      </c>
      <c r="S168" s="22" t="s">
        <v>340</v>
      </c>
      <c r="T168" s="23" t="s">
        <v>33</v>
      </c>
    </row>
    <row r="169" spans="1:20" x14ac:dyDescent="0.2">
      <c r="A169" s="1"/>
      <c r="B169" s="1"/>
      <c r="C169" s="1"/>
      <c r="D169" s="21"/>
      <c r="E169" s="21"/>
      <c r="F169" s="1"/>
      <c r="G169" s="1"/>
      <c r="H169" s="21"/>
      <c r="I169" s="1"/>
      <c r="J169" s="1"/>
      <c r="K169" s="21"/>
      <c r="L169" s="21"/>
      <c r="M169" s="21"/>
      <c r="N169" s="1"/>
      <c r="O169" s="1"/>
      <c r="P169" s="1"/>
      <c r="Q169" s="21"/>
      <c r="R169" s="21"/>
      <c r="S169" s="22"/>
      <c r="T169" s="23"/>
    </row>
    <row r="170" spans="1:20" x14ac:dyDescent="0.2">
      <c r="A170" s="1"/>
      <c r="B170" s="1"/>
      <c r="C170" s="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2"/>
      <c r="T170" s="23"/>
    </row>
    <row r="171" spans="1:20" x14ac:dyDescent="0.2">
      <c r="A171" s="1"/>
      <c r="B171" s="1"/>
      <c r="C171" s="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2"/>
      <c r="T171" s="23"/>
    </row>
    <row r="172" spans="1:20" x14ac:dyDescent="0.2">
      <c r="A172" s="1"/>
      <c r="B172" s="1"/>
      <c r="C172" s="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2"/>
      <c r="T172" s="23"/>
    </row>
    <row r="173" spans="1:20" x14ac:dyDescent="0.2">
      <c r="A173" s="1"/>
      <c r="B173" s="1"/>
      <c r="C173" s="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2"/>
      <c r="T173" s="23"/>
    </row>
    <row r="174" spans="1:20" x14ac:dyDescent="0.2">
      <c r="A174" s="1"/>
      <c r="B174" s="1"/>
      <c r="C174" s="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2"/>
      <c r="T174" s="23"/>
    </row>
    <row r="175" spans="1:20" x14ac:dyDescent="0.2">
      <c r="A175" s="1"/>
      <c r="B175" s="1"/>
      <c r="C175" s="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2"/>
      <c r="T175" s="23"/>
    </row>
    <row r="176" spans="1:20" x14ac:dyDescent="0.2">
      <c r="A176" s="1"/>
      <c r="B176" s="1"/>
      <c r="C176" s="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2"/>
      <c r="T176" s="23"/>
    </row>
    <row r="177" spans="1:20" x14ac:dyDescent="0.2">
      <c r="A177" s="1"/>
      <c r="B177" s="1"/>
      <c r="C177" s="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2"/>
      <c r="T177" s="23"/>
    </row>
    <row r="178" spans="1:20" x14ac:dyDescent="0.2">
      <c r="A178" s="1"/>
      <c r="B178" s="1"/>
      <c r="C178" s="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2"/>
      <c r="T178" s="23"/>
    </row>
    <row r="179" spans="1:20" x14ac:dyDescent="0.2">
      <c r="A179" s="1"/>
      <c r="B179" s="1"/>
      <c r="C179" s="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2"/>
      <c r="T179" s="23"/>
    </row>
    <row r="180" spans="1:20" x14ac:dyDescent="0.2">
      <c r="A180" s="1"/>
      <c r="B180" s="1"/>
      <c r="C180" s="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2"/>
      <c r="T180" s="23"/>
    </row>
    <row r="181" spans="1:20" x14ac:dyDescent="0.2">
      <c r="A181" s="1"/>
      <c r="B181" s="1"/>
      <c r="C181" s="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2"/>
      <c r="T181" s="23"/>
    </row>
    <row r="182" spans="1:20" x14ac:dyDescent="0.2">
      <c r="A182" s="1"/>
      <c r="B182" s="1"/>
      <c r="C182" s="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2"/>
      <c r="T182" s="23"/>
    </row>
    <row r="183" spans="1:20" x14ac:dyDescent="0.2">
      <c r="A183" s="1"/>
      <c r="B183" s="1"/>
      <c r="C183" s="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2"/>
      <c r="T183" s="23"/>
    </row>
    <row r="184" spans="1:20" x14ac:dyDescent="0.2">
      <c r="A184" s="1"/>
      <c r="B184" s="1"/>
      <c r="C184" s="1"/>
      <c r="D184" s="21"/>
      <c r="E184" s="21"/>
      <c r="F184" s="1"/>
      <c r="G184" s="1"/>
      <c r="H184" s="21"/>
      <c r="I184" s="1"/>
      <c r="J184" s="1"/>
      <c r="K184" s="21"/>
      <c r="L184" s="21"/>
      <c r="M184" s="21"/>
      <c r="N184" s="1"/>
      <c r="O184" s="1"/>
      <c r="P184" s="1"/>
      <c r="Q184" s="21"/>
      <c r="R184" s="21"/>
      <c r="S184" s="22"/>
      <c r="T184" s="23"/>
    </row>
    <row r="185" spans="1:20" x14ac:dyDescent="0.2">
      <c r="A185" s="1"/>
      <c r="B185" s="1"/>
      <c r="C185" s="1"/>
      <c r="D185" s="21"/>
      <c r="E185" s="21"/>
      <c r="F185" s="1"/>
      <c r="G185" s="1"/>
      <c r="H185" s="21"/>
      <c r="I185" s="1"/>
      <c r="J185" s="1"/>
      <c r="K185" s="21"/>
      <c r="L185" s="21"/>
      <c r="M185" s="21"/>
      <c r="N185" s="1"/>
      <c r="O185" s="1"/>
      <c r="P185" s="1"/>
      <c r="Q185" s="21"/>
      <c r="R185" s="21"/>
      <c r="S185" s="22"/>
      <c r="T185" s="23"/>
    </row>
    <row r="186" spans="1:20" x14ac:dyDescent="0.2">
      <c r="A186" s="1"/>
      <c r="B186" s="1"/>
      <c r="C186" s="1"/>
      <c r="D186" s="21"/>
      <c r="E186" s="21"/>
      <c r="F186" s="1"/>
      <c r="G186" s="1"/>
      <c r="H186" s="21"/>
      <c r="I186" s="1"/>
      <c r="J186" s="1"/>
      <c r="K186" s="21"/>
      <c r="L186" s="21"/>
      <c r="M186" s="21"/>
      <c r="N186" s="1"/>
      <c r="O186" s="1"/>
      <c r="P186" s="1"/>
      <c r="Q186" s="21"/>
      <c r="R186" s="21"/>
      <c r="S186" s="22"/>
      <c r="T186" s="23"/>
    </row>
    <row r="187" spans="1:20" x14ac:dyDescent="0.2">
      <c r="A187" s="1"/>
      <c r="B187" s="1"/>
      <c r="C187" s="1"/>
      <c r="D187" s="21"/>
      <c r="E187" s="21"/>
      <c r="F187" s="1"/>
      <c r="G187" s="1"/>
      <c r="H187" s="21"/>
      <c r="I187" s="1"/>
      <c r="J187" s="1"/>
      <c r="K187" s="21"/>
      <c r="L187" s="21"/>
      <c r="M187" s="21"/>
      <c r="N187" s="1"/>
      <c r="O187" s="1"/>
      <c r="P187" s="1"/>
      <c r="Q187" s="21"/>
      <c r="R187" s="21"/>
      <c r="S187" s="22"/>
      <c r="T187" s="23"/>
    </row>
    <row r="188" spans="1:20" x14ac:dyDescent="0.2">
      <c r="A188" s="1"/>
      <c r="B188" s="1"/>
      <c r="C188" s="1"/>
      <c r="D188" s="21"/>
      <c r="E188" s="21"/>
      <c r="F188" s="1"/>
      <c r="G188" s="1"/>
      <c r="H188" s="21"/>
      <c r="I188" s="1"/>
      <c r="J188" s="1"/>
      <c r="K188" s="21"/>
      <c r="L188" s="21"/>
      <c r="M188" s="21"/>
      <c r="N188" s="1"/>
      <c r="O188" s="1"/>
      <c r="P188" s="1"/>
      <c r="Q188" s="21"/>
      <c r="R188" s="21"/>
      <c r="S188" s="22"/>
      <c r="T188" s="23"/>
    </row>
    <row r="189" spans="1:20" x14ac:dyDescent="0.2">
      <c r="A189" s="1"/>
      <c r="B189" s="1"/>
      <c r="C189" s="1"/>
      <c r="D189" s="21"/>
      <c r="E189" s="21"/>
      <c r="F189" s="1"/>
      <c r="G189" s="1"/>
      <c r="H189" s="21"/>
      <c r="I189" s="1"/>
      <c r="J189" s="1"/>
      <c r="K189" s="21"/>
      <c r="L189" s="21"/>
      <c r="M189" s="21"/>
      <c r="N189" s="1"/>
      <c r="O189" s="1"/>
      <c r="P189" s="1"/>
      <c r="Q189" s="21"/>
      <c r="R189" s="21"/>
      <c r="S189" s="22"/>
      <c r="T189" s="23"/>
    </row>
    <row r="190" spans="1:20" x14ac:dyDescent="0.2">
      <c r="A190" s="1"/>
      <c r="B190" s="1"/>
      <c r="C190" s="1"/>
      <c r="D190" s="21"/>
      <c r="E190" s="21"/>
      <c r="F190" s="1"/>
      <c r="G190" s="1"/>
      <c r="H190" s="21"/>
      <c r="I190" s="1"/>
      <c r="J190" s="1"/>
      <c r="K190" s="21"/>
      <c r="L190" s="21"/>
      <c r="M190" s="21"/>
      <c r="N190" s="1"/>
      <c r="O190" s="1"/>
      <c r="P190" s="1"/>
      <c r="Q190" s="21"/>
      <c r="R190" s="21"/>
      <c r="S190" s="22"/>
      <c r="T190" s="23"/>
    </row>
    <row r="191" spans="1:20" x14ac:dyDescent="0.2">
      <c r="A191" s="1"/>
      <c r="B191" s="1"/>
      <c r="C191" s="1"/>
      <c r="D191" s="21"/>
      <c r="E191" s="21"/>
      <c r="F191" s="1"/>
      <c r="G191" s="1"/>
      <c r="H191" s="21"/>
      <c r="I191" s="1"/>
      <c r="J191" s="1"/>
      <c r="K191" s="21"/>
      <c r="L191" s="21"/>
      <c r="M191" s="21"/>
      <c r="N191" s="1"/>
      <c r="O191" s="1"/>
      <c r="P191" s="1"/>
      <c r="Q191" s="21"/>
      <c r="R191" s="21"/>
      <c r="S191" s="22"/>
      <c r="T191" s="23"/>
    </row>
    <row r="192" spans="1:20" x14ac:dyDescent="0.2">
      <c r="A192" s="1"/>
      <c r="B192" s="1"/>
      <c r="C192" s="1"/>
      <c r="D192" s="21"/>
      <c r="E192" s="21"/>
      <c r="F192" s="1"/>
      <c r="G192" s="1"/>
      <c r="H192" s="21"/>
      <c r="I192" s="1"/>
      <c r="J192" s="1"/>
      <c r="K192" s="21"/>
      <c r="L192" s="21"/>
      <c r="M192" s="21"/>
      <c r="N192" s="1"/>
      <c r="O192" s="1"/>
      <c r="P192" s="1"/>
      <c r="Q192" s="21"/>
      <c r="R192" s="21"/>
      <c r="S192" s="22"/>
      <c r="T192" s="23"/>
    </row>
    <row r="193" spans="1:20" x14ac:dyDescent="0.2">
      <c r="A193" s="1"/>
      <c r="B193" s="1"/>
      <c r="C193" s="1"/>
      <c r="D193" s="21"/>
      <c r="E193" s="21"/>
      <c r="F193" s="1"/>
      <c r="G193" s="1"/>
      <c r="H193" s="21"/>
      <c r="I193" s="1"/>
      <c r="J193" s="1"/>
      <c r="K193" s="21"/>
      <c r="L193" s="21"/>
      <c r="M193" s="21"/>
      <c r="N193" s="1"/>
      <c r="O193" s="1"/>
      <c r="P193" s="1"/>
      <c r="Q193" s="21"/>
      <c r="R193" s="21"/>
      <c r="S193" s="22"/>
      <c r="T193" s="23"/>
    </row>
    <row r="194" spans="1:20" x14ac:dyDescent="0.2">
      <c r="A194" s="1"/>
      <c r="B194" s="1"/>
      <c r="C194" s="1"/>
      <c r="D194" s="21"/>
      <c r="E194" s="21"/>
      <c r="F194" s="1"/>
      <c r="G194" s="1"/>
      <c r="H194" s="21"/>
      <c r="I194" s="1"/>
      <c r="J194" s="1"/>
      <c r="K194" s="21"/>
      <c r="L194" s="21"/>
      <c r="M194" s="21"/>
      <c r="N194" s="1"/>
      <c r="O194" s="1"/>
      <c r="P194" s="1"/>
      <c r="Q194" s="21"/>
      <c r="R194" s="21"/>
      <c r="S194" s="22"/>
      <c r="T194" s="23"/>
    </row>
    <row r="195" spans="1:20" x14ac:dyDescent="0.2">
      <c r="A195" s="1"/>
      <c r="B195" s="1"/>
      <c r="C195" s="1"/>
      <c r="D195" s="21"/>
      <c r="E195" s="21"/>
      <c r="F195" s="1"/>
      <c r="G195" s="1"/>
      <c r="H195" s="21"/>
      <c r="I195" s="1"/>
      <c r="J195" s="1"/>
      <c r="K195" s="21"/>
      <c r="L195" s="21"/>
      <c r="M195" s="21"/>
      <c r="N195" s="1"/>
      <c r="O195" s="1"/>
      <c r="P195" s="1"/>
      <c r="Q195" s="21"/>
      <c r="R195" s="21"/>
      <c r="S195" s="22"/>
      <c r="T195" s="23"/>
    </row>
    <row r="196" spans="1:20" x14ac:dyDescent="0.2">
      <c r="A196" s="1"/>
      <c r="B196" s="1"/>
      <c r="C196" s="1"/>
      <c r="D196" s="21"/>
      <c r="E196" s="21"/>
      <c r="F196" s="1"/>
      <c r="G196" s="1"/>
      <c r="H196" s="21"/>
      <c r="I196" s="1"/>
      <c r="J196" s="1"/>
      <c r="K196" s="21"/>
      <c r="L196" s="21"/>
      <c r="M196" s="21"/>
      <c r="N196" s="1"/>
      <c r="O196" s="1"/>
      <c r="P196" s="1"/>
      <c r="Q196" s="21"/>
      <c r="R196" s="21"/>
      <c r="S196" s="22"/>
      <c r="T196" s="23"/>
    </row>
    <row r="197" spans="1:20" x14ac:dyDescent="0.2">
      <c r="A197" s="1"/>
      <c r="B197" s="1"/>
      <c r="C197" s="1"/>
      <c r="D197" s="21"/>
      <c r="E197" s="21"/>
      <c r="F197" s="1"/>
      <c r="G197" s="1"/>
      <c r="H197" s="21"/>
      <c r="I197" s="1"/>
      <c r="J197" s="1"/>
      <c r="K197" s="21"/>
      <c r="L197" s="21"/>
      <c r="M197" s="21"/>
      <c r="N197" s="1"/>
      <c r="O197" s="1"/>
      <c r="P197" s="1"/>
      <c r="Q197" s="21"/>
      <c r="R197" s="21"/>
      <c r="S197" s="22"/>
      <c r="T197" s="23"/>
    </row>
    <row r="198" spans="1:20" x14ac:dyDescent="0.2">
      <c r="A198" s="1"/>
      <c r="B198" s="1"/>
      <c r="C198" s="1"/>
      <c r="D198" s="21"/>
      <c r="E198" s="21"/>
      <c r="F198" s="1"/>
      <c r="G198" s="1"/>
      <c r="H198" s="21"/>
      <c r="I198" s="1"/>
      <c r="J198" s="1"/>
      <c r="K198" s="21"/>
      <c r="L198" s="21"/>
      <c r="M198" s="21"/>
      <c r="N198" s="1"/>
      <c r="O198" s="1"/>
      <c r="P198" s="1"/>
      <c r="Q198" s="21"/>
      <c r="R198" s="21"/>
      <c r="S198" s="22"/>
      <c r="T198" s="23"/>
    </row>
    <row r="199" spans="1:20" x14ac:dyDescent="0.2">
      <c r="A199" s="1"/>
      <c r="B199" s="1"/>
      <c r="C199" s="1"/>
      <c r="D199" s="21"/>
      <c r="E199" s="21"/>
      <c r="F199" s="1"/>
      <c r="G199" s="1"/>
      <c r="H199" s="21"/>
      <c r="I199" s="1"/>
      <c r="J199" s="1"/>
      <c r="K199" s="21"/>
      <c r="L199" s="21"/>
      <c r="M199" s="21"/>
      <c r="N199" s="1"/>
      <c r="O199" s="1"/>
      <c r="P199" s="1"/>
      <c r="Q199" s="21"/>
      <c r="R199" s="21"/>
      <c r="S199" s="22"/>
      <c r="T199" s="23"/>
    </row>
    <row r="200" spans="1:20" x14ac:dyDescent="0.2">
      <c r="A200" s="1"/>
      <c r="B200" s="1"/>
      <c r="C200" s="1"/>
      <c r="D200" s="21"/>
      <c r="E200" s="21"/>
      <c r="F200" s="1"/>
      <c r="G200" s="1"/>
      <c r="H200" s="21"/>
      <c r="I200" s="1"/>
      <c r="J200" s="1"/>
      <c r="K200" s="21"/>
      <c r="L200" s="21"/>
      <c r="M200" s="21"/>
      <c r="N200" s="1"/>
      <c r="O200" s="1"/>
      <c r="P200" s="1"/>
      <c r="Q200" s="21"/>
      <c r="R200" s="21"/>
      <c r="S200" s="22"/>
      <c r="T200" s="23"/>
    </row>
    <row r="201" spans="1:20" x14ac:dyDescent="0.2">
      <c r="A201" s="1"/>
      <c r="B201" s="1"/>
      <c r="C201" s="1"/>
      <c r="D201" s="21"/>
      <c r="E201" s="21"/>
      <c r="F201" s="1"/>
      <c r="G201" s="1"/>
      <c r="H201" s="21"/>
      <c r="I201" s="1"/>
      <c r="J201" s="1"/>
      <c r="K201" s="21"/>
      <c r="L201" s="21"/>
      <c r="M201" s="21"/>
      <c r="N201" s="1"/>
      <c r="O201" s="1"/>
      <c r="P201" s="1"/>
      <c r="Q201" s="21"/>
      <c r="R201" s="21"/>
      <c r="S201" s="22"/>
      <c r="T201" s="23"/>
    </row>
    <row r="202" spans="1:20" x14ac:dyDescent="0.2">
      <c r="A202" s="1"/>
      <c r="B202" s="1"/>
      <c r="C202" s="1"/>
      <c r="D202" s="21"/>
      <c r="E202" s="21"/>
      <c r="F202" s="1"/>
      <c r="G202" s="1"/>
      <c r="H202" s="21"/>
      <c r="I202" s="1"/>
      <c r="J202" s="1"/>
      <c r="K202" s="21"/>
      <c r="L202" s="21"/>
      <c r="M202" s="21"/>
      <c r="N202" s="1"/>
      <c r="O202" s="1"/>
      <c r="P202" s="1"/>
      <c r="Q202" s="21"/>
      <c r="R202" s="21"/>
      <c r="S202" s="22"/>
      <c r="T202" s="23"/>
    </row>
    <row r="203" spans="1:20" x14ac:dyDescent="0.2">
      <c r="A203" s="1"/>
      <c r="B203" s="1"/>
      <c r="C203" s="1"/>
      <c r="D203" s="21"/>
      <c r="E203" s="21"/>
      <c r="F203" s="1"/>
      <c r="G203" s="1"/>
      <c r="H203" s="21"/>
      <c r="I203" s="1"/>
      <c r="J203" s="1"/>
      <c r="K203" s="21"/>
      <c r="L203" s="21"/>
      <c r="M203" s="21"/>
      <c r="N203" s="1"/>
      <c r="O203" s="1"/>
      <c r="P203" s="1"/>
      <c r="Q203" s="21"/>
      <c r="R203" s="21"/>
      <c r="S203" s="22"/>
      <c r="T203" s="23"/>
    </row>
    <row r="204" spans="1:20" x14ac:dyDescent="0.2">
      <c r="A204" s="1"/>
      <c r="B204" s="1"/>
      <c r="C204" s="1"/>
      <c r="D204" s="21"/>
      <c r="E204" s="21"/>
      <c r="F204" s="1"/>
      <c r="G204" s="1"/>
      <c r="H204" s="21"/>
      <c r="I204" s="1"/>
      <c r="J204" s="1"/>
      <c r="K204" s="21"/>
      <c r="L204" s="21"/>
      <c r="M204" s="21"/>
      <c r="N204" s="1"/>
      <c r="O204" s="1"/>
      <c r="P204" s="1"/>
      <c r="Q204" s="21"/>
      <c r="R204" s="21"/>
      <c r="S204" s="22"/>
      <c r="T204" s="23"/>
    </row>
    <row r="205" spans="1:20" x14ac:dyDescent="0.2">
      <c r="A205" s="1"/>
      <c r="B205" s="1"/>
      <c r="C205" s="1"/>
      <c r="D205" s="21"/>
      <c r="E205" s="21"/>
      <c r="F205" s="1"/>
      <c r="G205" s="1"/>
      <c r="H205" s="21"/>
      <c r="I205" s="1"/>
      <c r="J205" s="1"/>
      <c r="K205" s="21"/>
      <c r="L205" s="21"/>
      <c r="M205" s="21"/>
      <c r="N205" s="1"/>
      <c r="O205" s="1"/>
      <c r="P205" s="1"/>
      <c r="Q205" s="21"/>
      <c r="R205" s="21"/>
      <c r="S205" s="22"/>
      <c r="T205" s="23"/>
    </row>
    <row r="206" spans="1:20" x14ac:dyDescent="0.2">
      <c r="A206" s="1"/>
      <c r="B206" s="1"/>
      <c r="C206" s="1"/>
      <c r="D206" s="21"/>
      <c r="E206" s="21"/>
      <c r="F206" s="1"/>
      <c r="G206" s="1"/>
      <c r="H206" s="21"/>
      <c r="I206" s="1"/>
      <c r="J206" s="1"/>
      <c r="K206" s="21"/>
      <c r="L206" s="21"/>
      <c r="M206" s="21"/>
      <c r="N206" s="1"/>
      <c r="O206" s="1"/>
      <c r="P206" s="1"/>
      <c r="Q206" s="21"/>
      <c r="R206" s="21"/>
      <c r="S206" s="22"/>
      <c r="T206" s="23"/>
    </row>
    <row r="207" spans="1:20" x14ac:dyDescent="0.2">
      <c r="A207" s="1"/>
      <c r="B207" s="1"/>
      <c r="C207" s="1"/>
      <c r="D207" s="21"/>
      <c r="E207" s="21"/>
      <c r="F207" s="1"/>
      <c r="G207" s="1"/>
      <c r="H207" s="21"/>
      <c r="I207" s="1"/>
      <c r="J207" s="1"/>
      <c r="K207" s="21"/>
      <c r="L207" s="21"/>
      <c r="M207" s="21"/>
      <c r="N207" s="1"/>
      <c r="O207" s="1"/>
      <c r="P207" s="1"/>
      <c r="Q207" s="21"/>
      <c r="R207" s="21"/>
      <c r="S207" s="22"/>
      <c r="T207" s="23"/>
    </row>
    <row r="208" spans="1:20" x14ac:dyDescent="0.2">
      <c r="A208" s="1"/>
      <c r="B208" s="1"/>
      <c r="C208" s="1"/>
      <c r="D208" s="21"/>
      <c r="E208" s="21"/>
      <c r="F208" s="1"/>
      <c r="G208" s="1"/>
      <c r="H208" s="21"/>
      <c r="I208" s="1"/>
      <c r="J208" s="1"/>
      <c r="K208" s="21"/>
      <c r="L208" s="21"/>
      <c r="M208" s="21"/>
      <c r="N208" s="1"/>
      <c r="O208" s="1"/>
      <c r="P208" s="1"/>
      <c r="Q208" s="21"/>
      <c r="R208" s="21"/>
      <c r="S208" s="22"/>
      <c r="T208" s="23"/>
    </row>
    <row r="209" spans="1:20" x14ac:dyDescent="0.2">
      <c r="A209" s="1"/>
      <c r="B209" s="1"/>
      <c r="C209" s="1"/>
      <c r="D209" s="21"/>
      <c r="E209" s="21"/>
      <c r="F209" s="1"/>
      <c r="G209" s="1"/>
      <c r="H209" s="21"/>
      <c r="I209" s="1"/>
      <c r="J209" s="1"/>
      <c r="K209" s="21"/>
      <c r="L209" s="21"/>
      <c r="M209" s="21"/>
      <c r="N209" s="1"/>
      <c r="O209" s="1"/>
      <c r="P209" s="1"/>
      <c r="Q209" s="21"/>
      <c r="R209" s="21"/>
      <c r="S209" s="22"/>
      <c r="T209" s="23"/>
    </row>
    <row r="210" spans="1:20" x14ac:dyDescent="0.2">
      <c r="A210" s="1"/>
      <c r="B210" s="1"/>
      <c r="C210" s="1"/>
      <c r="D210" s="21"/>
      <c r="E210" s="21"/>
      <c r="F210" s="1"/>
      <c r="G210" s="1"/>
      <c r="H210" s="21"/>
      <c r="I210" s="1"/>
      <c r="J210" s="1"/>
      <c r="K210" s="21"/>
      <c r="L210" s="21"/>
      <c r="M210" s="21"/>
      <c r="N210" s="1"/>
      <c r="O210" s="1"/>
      <c r="P210" s="1"/>
      <c r="Q210" s="21"/>
      <c r="R210" s="21"/>
      <c r="S210" s="22"/>
      <c r="T210" s="23"/>
    </row>
    <row r="211" spans="1:20" x14ac:dyDescent="0.2">
      <c r="A211" s="1"/>
      <c r="B211" s="1"/>
      <c r="C211" s="1"/>
      <c r="D211" s="21"/>
      <c r="E211" s="21"/>
      <c r="F211" s="1"/>
      <c r="G211" s="1"/>
      <c r="H211" s="21"/>
      <c r="I211" s="1"/>
      <c r="J211" s="1"/>
      <c r="K211" s="21"/>
      <c r="L211" s="21"/>
      <c r="M211" s="21"/>
      <c r="N211" s="1"/>
      <c r="O211" s="1"/>
      <c r="P211" s="1"/>
      <c r="Q211" s="21"/>
      <c r="R211" s="21"/>
      <c r="S211" s="22"/>
      <c r="T211" s="23"/>
    </row>
    <row r="212" spans="1:20" x14ac:dyDescent="0.2">
      <c r="A212" s="1"/>
      <c r="B212" s="1"/>
      <c r="C212" s="1"/>
      <c r="D212" s="21"/>
      <c r="E212" s="21"/>
      <c r="F212" s="1"/>
      <c r="G212" s="1"/>
      <c r="H212" s="21"/>
      <c r="I212" s="1"/>
      <c r="J212" s="1"/>
      <c r="K212" s="21"/>
      <c r="L212" s="21"/>
      <c r="M212" s="21"/>
      <c r="N212" s="1"/>
      <c r="O212" s="1"/>
      <c r="P212" s="1"/>
      <c r="Q212" s="21"/>
      <c r="R212" s="21"/>
      <c r="S212" s="22"/>
      <c r="T212" s="23"/>
    </row>
    <row r="213" spans="1:20" x14ac:dyDescent="0.2">
      <c r="A213" s="1"/>
      <c r="B213" s="1"/>
      <c r="C213" s="1"/>
      <c r="D213" s="21"/>
      <c r="E213" s="21"/>
      <c r="F213" s="1"/>
      <c r="G213" s="1"/>
      <c r="H213" s="21"/>
      <c r="I213" s="1"/>
      <c r="J213" s="1"/>
      <c r="K213" s="21"/>
      <c r="L213" s="21"/>
      <c r="M213" s="21"/>
      <c r="N213" s="1"/>
      <c r="O213" s="1"/>
      <c r="P213" s="1"/>
      <c r="Q213" s="21"/>
      <c r="R213" s="21"/>
      <c r="S213" s="22"/>
      <c r="T213" s="23"/>
    </row>
    <row r="214" spans="1:20" x14ac:dyDescent="0.2">
      <c r="A214" s="1"/>
      <c r="B214" s="1"/>
      <c r="C214" s="1"/>
      <c r="D214" s="21"/>
      <c r="E214" s="21"/>
      <c r="F214" s="1"/>
      <c r="G214" s="1"/>
      <c r="H214" s="21"/>
      <c r="I214" s="1"/>
      <c r="J214" s="1"/>
      <c r="K214" s="21"/>
      <c r="L214" s="21"/>
      <c r="M214" s="21"/>
      <c r="N214" s="1"/>
      <c r="O214" s="1"/>
      <c r="P214" s="1"/>
      <c r="Q214" s="21"/>
      <c r="R214" s="21"/>
      <c r="S214" s="22"/>
      <c r="T214" s="23"/>
    </row>
    <row r="215" spans="1:20" x14ac:dyDescent="0.2">
      <c r="A215" s="1"/>
      <c r="B215" s="1"/>
      <c r="C215" s="1"/>
      <c r="D215" s="21"/>
      <c r="E215" s="21"/>
      <c r="F215" s="1"/>
      <c r="G215" s="1"/>
      <c r="H215" s="21"/>
      <c r="I215" s="1"/>
      <c r="J215" s="1"/>
      <c r="K215" s="21"/>
      <c r="L215" s="21"/>
      <c r="M215" s="21"/>
      <c r="N215" s="1"/>
      <c r="O215" s="1"/>
      <c r="P215" s="1"/>
      <c r="Q215" s="21"/>
      <c r="R215" s="21"/>
      <c r="S215" s="22"/>
      <c r="T215" s="23"/>
    </row>
    <row r="216" spans="1:20" x14ac:dyDescent="0.2">
      <c r="A216" s="1"/>
      <c r="B216" s="1"/>
      <c r="C216" s="1"/>
      <c r="D216" s="21"/>
      <c r="E216" s="21"/>
      <c r="F216" s="1"/>
      <c r="G216" s="1"/>
      <c r="H216" s="21"/>
      <c r="I216" s="1"/>
      <c r="J216" s="1"/>
      <c r="K216" s="21"/>
      <c r="L216" s="21"/>
      <c r="M216" s="21"/>
      <c r="N216" s="1"/>
      <c r="O216" s="1"/>
      <c r="P216" s="1"/>
      <c r="Q216" s="21"/>
      <c r="R216" s="21"/>
      <c r="S216" s="22"/>
      <c r="T216" s="23"/>
    </row>
    <row r="217" spans="1:20" x14ac:dyDescent="0.2">
      <c r="A217" s="1"/>
      <c r="B217" s="1"/>
      <c r="C217" s="1"/>
      <c r="D217" s="21"/>
      <c r="E217" s="21"/>
      <c r="F217" s="1"/>
      <c r="G217" s="1"/>
      <c r="H217" s="21"/>
      <c r="I217" s="1"/>
      <c r="J217" s="1"/>
      <c r="K217" s="21"/>
      <c r="L217" s="21"/>
      <c r="M217" s="21"/>
      <c r="N217" s="1"/>
      <c r="O217" s="1"/>
      <c r="P217" s="1"/>
      <c r="Q217" s="21"/>
      <c r="R217" s="21"/>
      <c r="S217" s="22"/>
      <c r="T217" s="23"/>
    </row>
    <row r="218" spans="1:20" x14ac:dyDescent="0.2">
      <c r="A218" s="1"/>
      <c r="B218" s="1"/>
      <c r="C218" s="1"/>
      <c r="D218" s="21"/>
      <c r="E218" s="21"/>
      <c r="F218" s="1"/>
      <c r="G218" s="1"/>
      <c r="H218" s="21"/>
      <c r="I218" s="1"/>
      <c r="J218" s="1"/>
      <c r="K218" s="21"/>
      <c r="L218" s="21"/>
      <c r="M218" s="21"/>
      <c r="N218" s="1"/>
      <c r="O218" s="1"/>
      <c r="P218" s="1"/>
      <c r="Q218" s="21"/>
      <c r="R218" s="21"/>
      <c r="S218" s="22"/>
      <c r="T218" s="23"/>
    </row>
    <row r="219" spans="1:20" x14ac:dyDescent="0.2">
      <c r="A219" s="1"/>
      <c r="B219" s="1"/>
      <c r="C219" s="1"/>
      <c r="D219" s="21"/>
      <c r="E219" s="21"/>
      <c r="F219" s="1"/>
      <c r="G219" s="1"/>
      <c r="H219" s="21"/>
      <c r="I219" s="1"/>
      <c r="J219" s="1"/>
      <c r="K219" s="21"/>
      <c r="L219" s="21"/>
      <c r="M219" s="21"/>
      <c r="N219" s="1"/>
      <c r="O219" s="1"/>
      <c r="P219" s="1"/>
      <c r="Q219" s="21"/>
      <c r="R219" s="21"/>
      <c r="S219" s="22"/>
      <c r="T219" s="23"/>
    </row>
    <row r="220" spans="1:20" x14ac:dyDescent="0.2">
      <c r="A220" s="1"/>
      <c r="B220" s="1"/>
      <c r="C220" s="1"/>
      <c r="D220" s="21"/>
      <c r="E220" s="21"/>
      <c r="F220" s="1"/>
      <c r="G220" s="1"/>
      <c r="H220" s="21"/>
      <c r="I220" s="1"/>
      <c r="J220" s="1"/>
      <c r="K220" s="21"/>
      <c r="L220" s="21"/>
      <c r="M220" s="21"/>
      <c r="N220" s="1"/>
      <c r="O220" s="1"/>
      <c r="P220" s="1"/>
      <c r="Q220" s="21"/>
      <c r="R220" s="21"/>
      <c r="S220" s="22"/>
      <c r="T220" s="23"/>
    </row>
    <row r="221" spans="1:20" x14ac:dyDescent="0.2">
      <c r="A221" s="1"/>
      <c r="B221" s="1"/>
      <c r="C221" s="1"/>
      <c r="D221" s="21"/>
      <c r="E221" s="21"/>
      <c r="F221" s="1"/>
      <c r="G221" s="1"/>
      <c r="H221" s="21"/>
      <c r="I221" s="1"/>
      <c r="J221" s="1"/>
      <c r="K221" s="21"/>
      <c r="L221" s="21"/>
      <c r="M221" s="21"/>
      <c r="N221" s="1"/>
      <c r="O221" s="1"/>
      <c r="P221" s="1"/>
      <c r="Q221" s="21"/>
      <c r="R221" s="21"/>
      <c r="S221" s="22"/>
      <c r="T221" s="23"/>
    </row>
    <row r="222" spans="1:20" x14ac:dyDescent="0.2">
      <c r="A222" s="1"/>
      <c r="B222" s="1"/>
      <c r="C222" s="1"/>
      <c r="D222" s="21"/>
      <c r="E222" s="21"/>
      <c r="F222" s="1"/>
      <c r="G222" s="1"/>
      <c r="H222" s="21"/>
      <c r="I222" s="1"/>
      <c r="J222" s="1"/>
      <c r="K222" s="21"/>
      <c r="L222" s="21"/>
      <c r="M222" s="21"/>
      <c r="N222" s="1"/>
      <c r="O222" s="1"/>
      <c r="P222" s="1"/>
      <c r="Q222" s="21"/>
      <c r="R222" s="21"/>
      <c r="S222" s="22"/>
      <c r="T222" s="23"/>
    </row>
    <row r="223" spans="1:20" x14ac:dyDescent="0.2">
      <c r="A223" s="1"/>
      <c r="B223" s="1"/>
      <c r="C223" s="1"/>
      <c r="D223" s="21"/>
      <c r="E223" s="21"/>
      <c r="F223" s="1"/>
      <c r="G223" s="1"/>
      <c r="H223" s="21"/>
      <c r="I223" s="1"/>
      <c r="J223" s="1"/>
      <c r="K223" s="21"/>
      <c r="L223" s="21"/>
      <c r="M223" s="21"/>
      <c r="N223" s="1"/>
      <c r="O223" s="1"/>
      <c r="P223" s="1"/>
      <c r="Q223" s="21"/>
      <c r="R223" s="21"/>
      <c r="S223" s="22"/>
      <c r="T223" s="23"/>
    </row>
    <row r="224" spans="1:20" x14ac:dyDescent="0.2">
      <c r="A224" s="1"/>
      <c r="B224" s="1"/>
      <c r="C224" s="1"/>
      <c r="D224" s="21"/>
      <c r="E224" s="21"/>
      <c r="F224" s="1"/>
      <c r="G224" s="1"/>
      <c r="H224" s="21"/>
      <c r="I224" s="1"/>
      <c r="J224" s="1"/>
      <c r="K224" s="21"/>
      <c r="L224" s="21"/>
      <c r="M224" s="21"/>
      <c r="N224" s="1"/>
      <c r="O224" s="1"/>
      <c r="P224" s="1"/>
      <c r="Q224" s="21"/>
      <c r="R224" s="21"/>
      <c r="S224" s="22"/>
      <c r="T224" s="23"/>
    </row>
    <row r="225" spans="1:20" x14ac:dyDescent="0.2">
      <c r="A225" s="1"/>
      <c r="B225" s="1"/>
      <c r="C225" s="1"/>
      <c r="D225" s="21"/>
      <c r="E225" s="21"/>
      <c r="F225" s="1"/>
      <c r="G225" s="1"/>
      <c r="H225" s="21"/>
      <c r="I225" s="1"/>
      <c r="J225" s="1"/>
      <c r="K225" s="21"/>
      <c r="L225" s="21"/>
      <c r="M225" s="21"/>
      <c r="N225" s="1"/>
      <c r="O225" s="1"/>
      <c r="P225" s="1"/>
      <c r="Q225" s="21"/>
      <c r="R225" s="21"/>
      <c r="S225" s="22"/>
      <c r="T225" s="23"/>
    </row>
    <row r="226" spans="1:20" x14ac:dyDescent="0.2">
      <c r="A226" s="1" t="s">
        <v>401</v>
      </c>
      <c r="B226" s="1" t="s">
        <v>402</v>
      </c>
      <c r="C226" s="1" t="s">
        <v>307</v>
      </c>
      <c r="D226" s="21" t="s">
        <v>308</v>
      </c>
      <c r="E226" s="21" t="s">
        <v>403</v>
      </c>
      <c r="F226" s="1"/>
      <c r="G226" s="1"/>
      <c r="H226" s="21" t="s">
        <v>310</v>
      </c>
      <c r="I226" s="1"/>
      <c r="J226" s="1"/>
      <c r="K226" s="21" t="s">
        <v>311</v>
      </c>
      <c r="L226" s="21" t="s">
        <v>312</v>
      </c>
      <c r="M226" s="21" t="s">
        <v>313</v>
      </c>
      <c r="N226" s="1"/>
      <c r="O226" s="1"/>
      <c r="P226" s="1"/>
      <c r="Q226" s="21" t="s">
        <v>314</v>
      </c>
      <c r="R226" s="21" t="s">
        <v>20</v>
      </c>
      <c r="S226" s="22">
        <v>2450</v>
      </c>
      <c r="T226" s="23">
        <v>4785.1275318829712</v>
      </c>
    </row>
    <row r="227" spans="1:20" x14ac:dyDescent="0.2">
      <c r="A227" s="1" t="s">
        <v>404</v>
      </c>
      <c r="B227" s="1" t="s">
        <v>405</v>
      </c>
      <c r="C227" s="1" t="s">
        <v>307</v>
      </c>
      <c r="D227" s="21" t="s">
        <v>308</v>
      </c>
      <c r="E227" s="21" t="s">
        <v>403</v>
      </c>
      <c r="F227" s="1"/>
      <c r="G227" s="1"/>
      <c r="H227" s="21" t="s">
        <v>310</v>
      </c>
      <c r="I227" s="1"/>
      <c r="J227" s="1"/>
      <c r="K227" s="21" t="s">
        <v>311</v>
      </c>
      <c r="L227" s="21" t="s">
        <v>312</v>
      </c>
      <c r="M227" s="21" t="s">
        <v>313</v>
      </c>
      <c r="N227" s="1"/>
      <c r="O227" s="1"/>
      <c r="P227" s="1"/>
      <c r="Q227" s="21" t="s">
        <v>314</v>
      </c>
      <c r="R227" s="21" t="s">
        <v>20</v>
      </c>
      <c r="S227" s="22">
        <v>3150</v>
      </c>
      <c r="T227" s="23">
        <v>6152.3068267066765</v>
      </c>
    </row>
    <row r="228" spans="1:20" x14ac:dyDescent="0.2">
      <c r="A228" s="1" t="s">
        <v>406</v>
      </c>
      <c r="B228" s="1" t="s">
        <v>407</v>
      </c>
      <c r="C228" s="1" t="s">
        <v>307</v>
      </c>
      <c r="D228" s="21" t="s">
        <v>308</v>
      </c>
      <c r="E228" s="21" t="s">
        <v>403</v>
      </c>
      <c r="F228" s="1"/>
      <c r="G228" s="1"/>
      <c r="H228" s="21" t="s">
        <v>310</v>
      </c>
      <c r="I228" s="1"/>
      <c r="J228" s="1"/>
      <c r="K228" s="21" t="s">
        <v>311</v>
      </c>
      <c r="L228" s="21" t="s">
        <v>312</v>
      </c>
      <c r="M228" s="21" t="s">
        <v>313</v>
      </c>
      <c r="N228" s="1"/>
      <c r="O228" s="1"/>
      <c r="P228" s="1"/>
      <c r="Q228" s="21" t="s">
        <v>314</v>
      </c>
      <c r="R228" s="21" t="s">
        <v>20</v>
      </c>
      <c r="S228" s="22">
        <v>13980</v>
      </c>
      <c r="T228" s="23">
        <v>27304.523630907726</v>
      </c>
    </row>
    <row r="229" spans="1:20" x14ac:dyDescent="0.2">
      <c r="A229" s="1" t="s">
        <v>408</v>
      </c>
      <c r="B229" s="1" t="s">
        <v>409</v>
      </c>
      <c r="C229" s="1" t="s">
        <v>307</v>
      </c>
      <c r="D229" s="21" t="s">
        <v>308</v>
      </c>
      <c r="E229" s="21" t="s">
        <v>403</v>
      </c>
      <c r="F229" s="1"/>
      <c r="G229" s="1"/>
      <c r="H229" s="21" t="s">
        <v>310</v>
      </c>
      <c r="I229" s="1"/>
      <c r="J229" s="1"/>
      <c r="K229" s="21" t="s">
        <v>311</v>
      </c>
      <c r="L229" s="21" t="s">
        <v>312</v>
      </c>
      <c r="M229" s="21" t="s">
        <v>313</v>
      </c>
      <c r="N229" s="1"/>
      <c r="O229" s="1"/>
      <c r="P229" s="1"/>
      <c r="Q229" s="21" t="s">
        <v>314</v>
      </c>
      <c r="R229" s="21" t="s">
        <v>20</v>
      </c>
      <c r="S229" s="22">
        <v>48704</v>
      </c>
      <c r="T229" s="23">
        <v>95124.429107276825</v>
      </c>
    </row>
    <row r="230" spans="1:20" x14ac:dyDescent="0.2">
      <c r="A230" s="1" t="s">
        <v>410</v>
      </c>
      <c r="B230" s="1" t="s">
        <v>411</v>
      </c>
      <c r="C230" s="1" t="s">
        <v>307</v>
      </c>
      <c r="D230" s="21" t="s">
        <v>308</v>
      </c>
      <c r="E230" s="21" t="s">
        <v>403</v>
      </c>
      <c r="F230" s="1"/>
      <c r="G230" s="1"/>
      <c r="H230" s="21" t="s">
        <v>310</v>
      </c>
      <c r="I230" s="1"/>
      <c r="J230" s="1"/>
      <c r="K230" s="21" t="s">
        <v>311</v>
      </c>
      <c r="L230" s="21" t="s">
        <v>312</v>
      </c>
      <c r="M230" s="21" t="s">
        <v>313</v>
      </c>
      <c r="N230" s="1"/>
      <c r="O230" s="1"/>
      <c r="P230" s="1"/>
      <c r="Q230" s="21" t="s">
        <v>314</v>
      </c>
      <c r="R230" s="21" t="s">
        <v>20</v>
      </c>
      <c r="S230" s="22">
        <v>2920.4</v>
      </c>
      <c r="T230" s="23">
        <v>5703.8720180045011</v>
      </c>
    </row>
    <row r="231" spans="1:20" x14ac:dyDescent="0.2">
      <c r="A231" s="1" t="s">
        <v>412</v>
      </c>
      <c r="B231" s="1" t="s">
        <v>413</v>
      </c>
      <c r="C231" s="1" t="s">
        <v>307</v>
      </c>
      <c r="D231" s="21" t="s">
        <v>308</v>
      </c>
      <c r="E231" s="21" t="s">
        <v>403</v>
      </c>
      <c r="F231" s="1"/>
      <c r="G231" s="1"/>
      <c r="H231" s="21" t="s">
        <v>310</v>
      </c>
      <c r="I231" s="1"/>
      <c r="J231" s="1"/>
      <c r="K231" s="21" t="s">
        <v>311</v>
      </c>
      <c r="L231" s="21" t="s">
        <v>312</v>
      </c>
      <c r="M231" s="21" t="s">
        <v>313</v>
      </c>
      <c r="N231" s="1"/>
      <c r="O231" s="1"/>
      <c r="P231" s="1"/>
      <c r="Q231" s="21" t="s">
        <v>314</v>
      </c>
      <c r="R231" s="21" t="s">
        <v>20</v>
      </c>
      <c r="S231" s="22">
        <v>6149.5</v>
      </c>
      <c r="T231" s="23">
        <v>12010.670105026256</v>
      </c>
    </row>
    <row r="232" spans="1:2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2"/>
      <c r="T232" s="23"/>
    </row>
  </sheetData>
  <autoFilter ref="B1:B232" xr:uid="{00000000-0001-0000-0100-000000000000}"/>
  <conditionalFormatting sqref="A1:A232">
    <cfRule type="duplicateValues" dxfId="14" priority="1"/>
  </conditionalFormatting>
  <hyperlinks>
    <hyperlink ref="V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"/>
  <sheetViews>
    <sheetView workbookViewId="0">
      <selection activeCell="N12" sqref="N12"/>
    </sheetView>
  </sheetViews>
  <sheetFormatPr baseColWidth="10" defaultColWidth="8.83203125" defaultRowHeight="15" x14ac:dyDescent="0.2"/>
  <sheetData>
    <row r="1" spans="1:20" x14ac:dyDescent="0.2">
      <c r="A1" s="9" t="s">
        <v>414</v>
      </c>
      <c r="B1" s="9" t="s">
        <v>87</v>
      </c>
      <c r="C1" s="24" t="s">
        <v>415</v>
      </c>
      <c r="D1" s="25" t="s">
        <v>416</v>
      </c>
      <c r="E1" s="26" t="s">
        <v>417</v>
      </c>
      <c r="F1" s="25" t="s">
        <v>418</v>
      </c>
      <c r="G1" s="25" t="s">
        <v>419</v>
      </c>
      <c r="H1" s="25" t="s">
        <v>295</v>
      </c>
      <c r="I1" s="25" t="s">
        <v>420</v>
      </c>
      <c r="J1" s="25" t="s">
        <v>421</v>
      </c>
      <c r="K1" s="25" t="s">
        <v>422</v>
      </c>
      <c r="L1" s="25" t="s">
        <v>423</v>
      </c>
      <c r="M1" s="25" t="s">
        <v>424</v>
      </c>
      <c r="N1" s="25" t="s">
        <v>425</v>
      </c>
      <c r="O1" s="25" t="s">
        <v>426</v>
      </c>
      <c r="P1" s="25" t="s">
        <v>427</v>
      </c>
      <c r="Q1" s="19" t="s">
        <v>303</v>
      </c>
      <c r="R1" s="25" t="s">
        <v>121</v>
      </c>
      <c r="S1" s="18" t="s">
        <v>656</v>
      </c>
      <c r="T1" s="18" t="s">
        <v>657</v>
      </c>
    </row>
    <row r="2" spans="1:20" x14ac:dyDescent="0.2">
      <c r="A2" s="1" t="s">
        <v>428</v>
      </c>
      <c r="B2" s="1" t="s">
        <v>307</v>
      </c>
      <c r="C2" s="1" t="s">
        <v>429</v>
      </c>
      <c r="D2" s="1" t="s">
        <v>430</v>
      </c>
      <c r="E2" s="27" t="s">
        <v>431</v>
      </c>
      <c r="F2" s="1" t="s">
        <v>432</v>
      </c>
      <c r="G2" s="1" t="s">
        <v>433</v>
      </c>
      <c r="H2" s="1"/>
      <c r="I2" s="1" t="s">
        <v>434</v>
      </c>
      <c r="J2" s="1" t="s">
        <v>435</v>
      </c>
      <c r="K2" s="1" t="s">
        <v>436</v>
      </c>
      <c r="L2" s="1" t="s">
        <v>437</v>
      </c>
      <c r="M2" s="1" t="s">
        <v>438</v>
      </c>
      <c r="N2" s="1" t="s">
        <v>439</v>
      </c>
      <c r="O2" s="1" t="s">
        <v>440</v>
      </c>
      <c r="P2" s="1" t="s">
        <v>435</v>
      </c>
      <c r="Q2" s="7">
        <v>2000</v>
      </c>
      <c r="R2" s="21">
        <f t="shared" ref="R2" si="0">ROUNDUP(Q2*1.95311327831958,0)</f>
        <v>3907</v>
      </c>
      <c r="S2" s="21" t="s">
        <v>658</v>
      </c>
      <c r="T2" s="33" t="s">
        <v>659</v>
      </c>
    </row>
  </sheetData>
  <hyperlinks>
    <hyperlink ref="T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"/>
  <sheetViews>
    <sheetView workbookViewId="0">
      <selection activeCell="X2" sqref="X2"/>
    </sheetView>
  </sheetViews>
  <sheetFormatPr baseColWidth="10" defaultColWidth="8.83203125" defaultRowHeight="15" x14ac:dyDescent="0.2"/>
  <cols>
    <col min="3" max="3" width="20.33203125" bestFit="1" customWidth="1"/>
  </cols>
  <sheetData>
    <row r="1" spans="1:25" x14ac:dyDescent="0.2">
      <c r="A1" s="25" t="s">
        <v>441</v>
      </c>
      <c r="B1" s="25" t="s">
        <v>87</v>
      </c>
      <c r="C1" s="25" t="s">
        <v>415</v>
      </c>
      <c r="D1" s="25" t="s">
        <v>442</v>
      </c>
      <c r="E1" s="25" t="s">
        <v>443</v>
      </c>
      <c r="F1" s="25" t="s">
        <v>444</v>
      </c>
      <c r="G1" s="25" t="s">
        <v>445</v>
      </c>
      <c r="H1" s="25" t="s">
        <v>446</v>
      </c>
      <c r="I1" s="25" t="s">
        <v>99</v>
      </c>
      <c r="J1" s="25" t="s">
        <v>447</v>
      </c>
      <c r="K1" s="25" t="s">
        <v>448</v>
      </c>
      <c r="L1" s="25" t="s">
        <v>449</v>
      </c>
      <c r="M1" s="25" t="s">
        <v>450</v>
      </c>
      <c r="N1" s="25" t="s">
        <v>451</v>
      </c>
      <c r="O1" s="25" t="s">
        <v>452</v>
      </c>
      <c r="P1" s="25" t="s">
        <v>453</v>
      </c>
      <c r="Q1" s="25" t="s">
        <v>420</v>
      </c>
      <c r="R1" s="25" t="s">
        <v>454</v>
      </c>
      <c r="S1" s="25" t="s">
        <v>455</v>
      </c>
      <c r="T1" s="25" t="s">
        <v>456</v>
      </c>
      <c r="U1" s="19" t="s">
        <v>303</v>
      </c>
      <c r="V1" s="25" t="s">
        <v>121</v>
      </c>
      <c r="W1" s="25" t="s">
        <v>457</v>
      </c>
      <c r="X1" s="25" t="s">
        <v>656</v>
      </c>
      <c r="Y1" s="25" t="s">
        <v>662</v>
      </c>
    </row>
    <row r="2" spans="1:25" x14ac:dyDescent="0.2">
      <c r="A2" s="1" t="s">
        <v>458</v>
      </c>
      <c r="B2" s="1" t="s">
        <v>459</v>
      </c>
      <c r="C2" s="1" t="s">
        <v>460</v>
      </c>
      <c r="D2" s="21" t="s">
        <v>461</v>
      </c>
      <c r="E2" s="1" t="s">
        <v>462</v>
      </c>
      <c r="F2" s="1" t="s">
        <v>463</v>
      </c>
      <c r="G2" s="1" t="s">
        <v>464</v>
      </c>
      <c r="H2" s="1" t="s">
        <v>465</v>
      </c>
      <c r="I2" s="1" t="s">
        <v>466</v>
      </c>
      <c r="J2" s="1" t="s">
        <v>467</v>
      </c>
      <c r="K2" s="1" t="s">
        <v>468</v>
      </c>
      <c r="L2" s="1" t="s">
        <v>469</v>
      </c>
      <c r="M2" s="1" t="s">
        <v>470</v>
      </c>
      <c r="N2" s="1" t="s">
        <v>471</v>
      </c>
      <c r="O2" s="1" t="s">
        <v>472</v>
      </c>
      <c r="P2" s="1" t="s">
        <v>473</v>
      </c>
      <c r="Q2" s="1" t="s">
        <v>339</v>
      </c>
      <c r="R2" s="1" t="s">
        <v>474</v>
      </c>
      <c r="S2" s="1" t="s">
        <v>475</v>
      </c>
      <c r="T2" s="1" t="s">
        <v>435</v>
      </c>
      <c r="U2" s="28">
        <v>2360</v>
      </c>
      <c r="V2" s="21">
        <f>ROUNDUP(U2*1.95311327831958,0)</f>
        <v>4610</v>
      </c>
      <c r="W2" s="1" t="str">
        <f>IF('[1]Build Code'!$D$6="XXXXXX",'[1]Solenoid Valve Codes'!V2,IF(AND(OR(LEFT('[1]Build Code'!$D$6,2)="PA",LEFT('[1]Build Code'!$D$6,2)="Pl"),OR(H2="3/2 Way",H2="5/2, 3/2 Convertible"),'[1]Build Code'!$L$9="Spring Return"),'[1]Solenoid Valve Codes'!V2,IF(AND(LEFT('[1]Build Code'!$D$6,2)="PA",OR(H2="5/2 Way",H2="5/2, 3/2 Convertible"),'[1]Build Code'!$L$9="Double Acting"),'[1]Solenoid Valve Codes'!V2,"XX")))</f>
        <v>XX</v>
      </c>
      <c r="X2" s="21" t="s">
        <v>660</v>
      </c>
      <c r="Y2" s="33" t="s">
        <v>661</v>
      </c>
    </row>
    <row r="3" spans="1:25" s="1" customFormat="1" ht="14" x14ac:dyDescent="0.2">
      <c r="A3" s="1" t="s">
        <v>480</v>
      </c>
      <c r="B3" s="1" t="s">
        <v>459</v>
      </c>
      <c r="C3" s="1" t="s">
        <v>481</v>
      </c>
      <c r="D3" s="21" t="s">
        <v>461</v>
      </c>
      <c r="E3" s="1" t="s">
        <v>462</v>
      </c>
      <c r="F3" s="1" t="s">
        <v>463</v>
      </c>
      <c r="G3" s="1" t="s">
        <v>464</v>
      </c>
      <c r="H3" s="1" t="s">
        <v>465</v>
      </c>
      <c r="I3" s="1" t="s">
        <v>466</v>
      </c>
      <c r="J3" s="1" t="s">
        <v>467</v>
      </c>
      <c r="K3" s="1" t="s">
        <v>468</v>
      </c>
      <c r="L3" s="1" t="s">
        <v>469</v>
      </c>
      <c r="M3" s="1" t="s">
        <v>470</v>
      </c>
      <c r="N3" s="1" t="s">
        <v>471</v>
      </c>
      <c r="O3" s="1" t="s">
        <v>472</v>
      </c>
      <c r="P3" s="1" t="s">
        <v>473</v>
      </c>
      <c r="Q3" s="1" t="s">
        <v>339</v>
      </c>
      <c r="R3" s="1" t="s">
        <v>482</v>
      </c>
      <c r="S3" s="1" t="s">
        <v>475</v>
      </c>
      <c r="T3" s="1" t="s">
        <v>435</v>
      </c>
      <c r="U3" s="28">
        <v>2360</v>
      </c>
      <c r="V3" s="21">
        <f t="shared" ref="V3" si="0">ROUNDUP(U3*1.95311327831958,0)</f>
        <v>4610</v>
      </c>
      <c r="W3" s="1" t="str">
        <f>IF('[1]Build Code'!$D$6="XXXXXX",'[1]Solenoid Valve Codes'!V3,IF(AND(LEFT('[1]Build Code'!$D$6,2)="PA",OR(H3="3/2 Way",H3="5/2, 3/2 Convertible"),'[1]Build Code'!$L$9="Spring Return"),'[1]Solenoid Valve Codes'!V3,IF(AND(LEFT('[1]Build Code'!$D$6,2)="PA",OR(H3="5/2 Way",H3="5/2, 3/2 Convertible"),'[1]Build Code'!$L$9="Double Acting"),'[1]Solenoid Valve Codes'!V3,"XX")))</f>
        <v>XX</v>
      </c>
    </row>
    <row r="4" spans="1:25" s="1" customFormat="1" ht="14" x14ac:dyDescent="0.2">
      <c r="A4" s="1" t="s">
        <v>476</v>
      </c>
      <c r="B4" s="1" t="s">
        <v>459</v>
      </c>
      <c r="C4" s="1" t="s">
        <v>477</v>
      </c>
      <c r="D4" s="21" t="s">
        <v>461</v>
      </c>
      <c r="E4" s="1" t="s">
        <v>462</v>
      </c>
      <c r="F4" s="1" t="s">
        <v>463</v>
      </c>
      <c r="G4" s="1" t="s">
        <v>464</v>
      </c>
      <c r="H4" s="29" t="s">
        <v>478</v>
      </c>
      <c r="I4" s="1" t="s">
        <v>466</v>
      </c>
      <c r="J4" s="1" t="s">
        <v>467</v>
      </c>
      <c r="K4" s="1" t="s">
        <v>479</v>
      </c>
      <c r="L4" s="1" t="s">
        <v>469</v>
      </c>
      <c r="M4" s="1" t="s">
        <v>470</v>
      </c>
      <c r="N4" s="1" t="s">
        <v>471</v>
      </c>
      <c r="O4" s="1" t="s">
        <v>472</v>
      </c>
      <c r="P4" s="1" t="s">
        <v>473</v>
      </c>
      <c r="Q4" s="1" t="s">
        <v>339</v>
      </c>
      <c r="R4" s="1" t="s">
        <v>474</v>
      </c>
      <c r="S4" s="1" t="s">
        <v>475</v>
      </c>
      <c r="T4" s="1" t="s">
        <v>435</v>
      </c>
      <c r="U4" s="28">
        <v>1848</v>
      </c>
      <c r="V4" s="21">
        <f t="shared" ref="V4:V5" si="1">ROUNDUP(U4*1.95311327831958,0)</f>
        <v>3610</v>
      </c>
      <c r="W4" s="1" t="str">
        <f>IF('[1]Build Code'!$D$6="XXXXXX",'[1]Solenoid Valve Codes'!V3,IF(AND(OR(LEFT('[1]Build Code'!$D$6,2)="PA",LEFT('[1]Build Code'!$D$6,2)="PL"),OR(H4="3/2 Way",H4="5/2, 3/2 Convertible"),'[1]Build Code'!$L$9="Spring Return"),'[1]Solenoid Valve Codes'!V3,IF(AND(LEFT('[1]Build Code'!$D$6,2)="PA",OR(H4="5/2 Way",H4="5/2, 3/2 Convertible"),'[1]Build Code'!$L$9="Double Acting"),'[1]Solenoid Valve Codes'!V3,"XX")))</f>
        <v>XX</v>
      </c>
    </row>
    <row r="5" spans="1:25" s="1" customFormat="1" ht="14" x14ac:dyDescent="0.2">
      <c r="A5" s="1" t="s">
        <v>483</v>
      </c>
      <c r="B5" s="1" t="s">
        <v>459</v>
      </c>
      <c r="C5" s="1" t="s">
        <v>484</v>
      </c>
      <c r="D5" s="21" t="s">
        <v>461</v>
      </c>
      <c r="E5" s="1" t="s">
        <v>462</v>
      </c>
      <c r="F5" s="1" t="s">
        <v>463</v>
      </c>
      <c r="G5" s="1" t="s">
        <v>464</v>
      </c>
      <c r="H5" s="29" t="s">
        <v>478</v>
      </c>
      <c r="I5" s="1" t="s">
        <v>466</v>
      </c>
      <c r="J5" s="1" t="s">
        <v>467</v>
      </c>
      <c r="K5" s="1" t="s">
        <v>479</v>
      </c>
      <c r="L5" s="1" t="s">
        <v>469</v>
      </c>
      <c r="M5" s="1" t="s">
        <v>470</v>
      </c>
      <c r="N5" s="1" t="s">
        <v>471</v>
      </c>
      <c r="O5" s="1" t="s">
        <v>472</v>
      </c>
      <c r="P5" s="1" t="s">
        <v>473</v>
      </c>
      <c r="Q5" s="1" t="s">
        <v>339</v>
      </c>
      <c r="R5" s="1" t="s">
        <v>482</v>
      </c>
      <c r="S5" s="1" t="s">
        <v>475</v>
      </c>
      <c r="T5" s="1" t="s">
        <v>435</v>
      </c>
      <c r="U5" s="28">
        <v>1848</v>
      </c>
      <c r="V5" s="21">
        <f t="shared" si="1"/>
        <v>3610</v>
      </c>
      <c r="W5" s="1" t="str">
        <f>IF('[1]Build Code'!$D$6="XXXXXX",'[1]Solenoid Valve Codes'!V5,IF(AND(LEFT('[1]Build Code'!$D$6,2)="PA",OR(H5="3/2 Way",H5="5/2, 3/2 Convertible"),'[1]Build Code'!$L$9="Spring Return"),'[1]Solenoid Valve Codes'!V5,IF(AND(LEFT('[1]Build Code'!$D$6,2)="PA",OR(H5="5/2 Way",H5="5/2, 3/2 Convertible"),'[1]Build Code'!$L$9="Double Acting"),'[1]Solenoid Valve Codes'!V5,"XX")))</f>
        <v>XX</v>
      </c>
    </row>
  </sheetData>
  <conditionalFormatting sqref="C1:C2">
    <cfRule type="duplicateValues" dxfId="13" priority="4"/>
  </conditionalFormatting>
  <conditionalFormatting sqref="C3">
    <cfRule type="duplicateValues" dxfId="12" priority="2"/>
  </conditionalFormatting>
  <conditionalFormatting sqref="C4">
    <cfRule type="duplicateValues" dxfId="11" priority="3"/>
  </conditionalFormatting>
  <conditionalFormatting sqref="C5">
    <cfRule type="duplicateValues" dxfId="10" priority="1"/>
  </conditionalFormatting>
  <hyperlinks>
    <hyperlink ref="Y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tabSelected="1" workbookViewId="0">
      <selection activeCell="O2" sqref="O2"/>
    </sheetView>
  </sheetViews>
  <sheetFormatPr baseColWidth="10" defaultColWidth="8.83203125" defaultRowHeight="15" x14ac:dyDescent="0.2"/>
  <cols>
    <col min="3" max="3" width="17.83203125" bestFit="1" customWidth="1"/>
  </cols>
  <sheetData>
    <row r="1" spans="1:15" s="1" customFormat="1" ht="14" x14ac:dyDescent="0.2">
      <c r="A1" s="1" t="s">
        <v>485</v>
      </c>
      <c r="B1" s="1" t="s">
        <v>486</v>
      </c>
      <c r="C1" s="1" t="s">
        <v>487</v>
      </c>
      <c r="D1" s="1" t="s">
        <v>488</v>
      </c>
      <c r="E1" s="1" t="s">
        <v>489</v>
      </c>
      <c r="F1" s="1" t="s">
        <v>461</v>
      </c>
      <c r="G1" s="1" t="s">
        <v>490</v>
      </c>
      <c r="H1" s="1" t="s">
        <v>491</v>
      </c>
      <c r="I1" s="1" t="s">
        <v>492</v>
      </c>
      <c r="J1" s="1" t="s">
        <v>493</v>
      </c>
      <c r="L1" s="7">
        <v>1198</v>
      </c>
      <c r="M1" s="21">
        <f t="shared" ref="M1" si="0">ROUNDUP(L1*1.95311327831958,0)</f>
        <v>2340</v>
      </c>
      <c r="N1" s="1" t="s">
        <v>656</v>
      </c>
      <c r="O1" s="1" t="s">
        <v>662</v>
      </c>
    </row>
    <row r="2" spans="1:15" x14ac:dyDescent="0.2">
      <c r="N2" t="s">
        <v>663</v>
      </c>
      <c r="O2" s="34" t="s">
        <v>664</v>
      </c>
    </row>
  </sheetData>
  <hyperlinks>
    <hyperlink ref="O2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>
      <selection activeCell="J4" sqref="J4"/>
    </sheetView>
  </sheetViews>
  <sheetFormatPr baseColWidth="10" defaultColWidth="8.83203125" defaultRowHeight="15" x14ac:dyDescent="0.2"/>
  <cols>
    <col min="1" max="1" width="16" bestFit="1" customWidth="1"/>
  </cols>
  <sheetData>
    <row r="1" spans="1:9" x14ac:dyDescent="0.2">
      <c r="A1" t="s">
        <v>504</v>
      </c>
      <c r="B1" t="s">
        <v>503</v>
      </c>
      <c r="C1" t="s">
        <v>502</v>
      </c>
      <c r="E1" t="s">
        <v>497</v>
      </c>
    </row>
    <row r="2" spans="1:9" s="30" customFormat="1" ht="14" x14ac:dyDescent="0.2">
      <c r="A2" s="30" t="s">
        <v>494</v>
      </c>
      <c r="B2" s="30" t="s">
        <v>495</v>
      </c>
      <c r="C2" s="30" t="s">
        <v>496</v>
      </c>
      <c r="D2" s="30">
        <v>250</v>
      </c>
      <c r="E2" s="30" t="s">
        <v>498</v>
      </c>
      <c r="F2" s="31" t="str">
        <f>IF(OR('[1]Build Code'!C4="XXXXXX",'[1]Build Code'!D4="XXXXXX"),I2,IF('[1]Build Code'!$N$14='[1]MOR Codes'!A1,I2,"XX"))</f>
        <v>XX</v>
      </c>
      <c r="G2" s="32" t="str">
        <f>IF(OR('[1]Build Code'!C4="XXXXXX",'[1]Build Code'!D4="XXXXXX"),ROUNDUP(I2*1.95311327831958,0),IF('[1]Build Code'!$N$14='[1]MOR Codes'!A1,ROUNDUP(F2*1.95311327831958,0),"XX"))</f>
        <v>XX</v>
      </c>
      <c r="H2" s="30" t="s">
        <v>494</v>
      </c>
      <c r="I2" s="31">
        <v>3050</v>
      </c>
    </row>
    <row r="3" spans="1:9" x14ac:dyDescent="0.2">
      <c r="E3" t="s">
        <v>499</v>
      </c>
    </row>
    <row r="4" spans="1:9" x14ac:dyDescent="0.2">
      <c r="E4" t="s">
        <v>500</v>
      </c>
    </row>
    <row r="5" spans="1:9" x14ac:dyDescent="0.2">
      <c r="E5" t="s">
        <v>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"/>
  <sheetViews>
    <sheetView workbookViewId="0">
      <selection activeCell="Q3" sqref="Q3"/>
    </sheetView>
  </sheetViews>
  <sheetFormatPr baseColWidth="10" defaultColWidth="8.83203125" defaultRowHeight="15" x14ac:dyDescent="0.2"/>
  <cols>
    <col min="1" max="1" width="13.5" bestFit="1" customWidth="1"/>
    <col min="3" max="3" width="28.1640625" bestFit="1" customWidth="1"/>
    <col min="16" max="16" width="11.83203125" bestFit="1" customWidth="1"/>
  </cols>
  <sheetData>
    <row r="1" spans="1:17" s="25" customFormat="1" ht="14" x14ac:dyDescent="0.2">
      <c r="A1" s="25" t="s">
        <v>505</v>
      </c>
      <c r="B1" s="25" t="s">
        <v>87</v>
      </c>
      <c r="C1" s="25" t="s">
        <v>506</v>
      </c>
      <c r="D1" s="25" t="s">
        <v>416</v>
      </c>
      <c r="E1" s="25" t="s">
        <v>507</v>
      </c>
      <c r="F1" s="25" t="s">
        <v>508</v>
      </c>
      <c r="G1" s="25" t="s">
        <v>509</v>
      </c>
      <c r="H1" s="25" t="s">
        <v>510</v>
      </c>
      <c r="I1" s="25" t="s">
        <v>295</v>
      </c>
      <c r="J1" s="25" t="s">
        <v>511</v>
      </c>
      <c r="K1" s="25" t="s">
        <v>423</v>
      </c>
      <c r="L1" s="25" t="s">
        <v>512</v>
      </c>
      <c r="M1" s="25" t="s">
        <v>513</v>
      </c>
      <c r="N1" s="26" t="s">
        <v>303</v>
      </c>
      <c r="O1" s="26" t="s">
        <v>121</v>
      </c>
      <c r="P1" s="25" t="s">
        <v>656</v>
      </c>
      <c r="Q1" s="25" t="s">
        <v>662</v>
      </c>
    </row>
    <row r="2" spans="1:17" s="1" customFormat="1" x14ac:dyDescent="0.2">
      <c r="A2" s="1" t="s">
        <v>514</v>
      </c>
      <c r="B2" s="1" t="s">
        <v>459</v>
      </c>
      <c r="C2" s="1" t="s">
        <v>515</v>
      </c>
      <c r="D2" s="1" t="s">
        <v>430</v>
      </c>
      <c r="E2" s="1" t="s">
        <v>516</v>
      </c>
      <c r="F2" s="1" t="s">
        <v>517</v>
      </c>
      <c r="G2" s="1" t="s">
        <v>518</v>
      </c>
      <c r="H2" s="1" t="s">
        <v>435</v>
      </c>
      <c r="I2" s="1" t="s">
        <v>518</v>
      </c>
      <c r="J2" s="1" t="s">
        <v>519</v>
      </c>
      <c r="K2" s="1" t="s">
        <v>520</v>
      </c>
      <c r="L2" s="1" t="s">
        <v>521</v>
      </c>
      <c r="M2" s="1" t="s">
        <v>435</v>
      </c>
      <c r="N2" s="1">
        <v>9600</v>
      </c>
      <c r="O2" s="21">
        <f t="shared" ref="O2" si="0">ROUNDUP(N2*1.95311327831958,0)</f>
        <v>18750</v>
      </c>
      <c r="P2" s="1" t="s">
        <v>665</v>
      </c>
      <c r="Q2" s="34" t="s">
        <v>666</v>
      </c>
    </row>
  </sheetData>
  <hyperlinks>
    <hyperlink ref="Q2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76"/>
  <sheetViews>
    <sheetView workbookViewId="0">
      <selection activeCell="C11" sqref="C11"/>
    </sheetView>
  </sheetViews>
  <sheetFormatPr baseColWidth="10" defaultColWidth="8.83203125" defaultRowHeight="15" x14ac:dyDescent="0.2"/>
  <sheetData>
    <row r="1" spans="1:44" x14ac:dyDescent="0.2">
      <c r="A1" s="8" t="s">
        <v>85</v>
      </c>
      <c r="B1" s="9" t="s">
        <v>86</v>
      </c>
      <c r="C1" s="8" t="s">
        <v>87</v>
      </c>
      <c r="D1" s="8" t="s">
        <v>88</v>
      </c>
      <c r="E1" s="8" t="s">
        <v>89</v>
      </c>
      <c r="F1" s="8" t="s">
        <v>90</v>
      </c>
      <c r="G1" s="10" t="s">
        <v>91</v>
      </c>
      <c r="H1" s="10" t="s">
        <v>92</v>
      </c>
      <c r="I1" s="8" t="s">
        <v>93</v>
      </c>
      <c r="J1" s="8" t="s">
        <v>94</v>
      </c>
      <c r="K1" s="8" t="s">
        <v>95</v>
      </c>
      <c r="L1" s="8" t="s">
        <v>96</v>
      </c>
      <c r="M1" s="8" t="s">
        <v>97</v>
      </c>
      <c r="N1" s="8" t="s">
        <v>98</v>
      </c>
      <c r="O1" s="8" t="s">
        <v>99</v>
      </c>
      <c r="P1" s="8" t="s">
        <v>100</v>
      </c>
      <c r="Q1" s="11" t="s">
        <v>101</v>
      </c>
      <c r="R1" s="8" t="s">
        <v>102</v>
      </c>
      <c r="S1" s="12" t="s">
        <v>103</v>
      </c>
      <c r="T1" s="12" t="s">
        <v>104</v>
      </c>
      <c r="U1" s="12" t="s">
        <v>105</v>
      </c>
      <c r="V1" s="12" t="s">
        <v>106</v>
      </c>
      <c r="W1" s="12" t="s">
        <v>107</v>
      </c>
      <c r="X1" s="13" t="s">
        <v>108</v>
      </c>
      <c r="Y1" s="13" t="s">
        <v>109</v>
      </c>
      <c r="Z1" s="14" t="s">
        <v>110</v>
      </c>
      <c r="AA1" s="12" t="s">
        <v>111</v>
      </c>
      <c r="AB1" s="12" t="s">
        <v>112</v>
      </c>
      <c r="AC1" s="12" t="s">
        <v>113</v>
      </c>
      <c r="AD1" s="15" t="s">
        <v>114</v>
      </c>
      <c r="AE1" s="12" t="s">
        <v>115</v>
      </c>
      <c r="AF1" s="15" t="s">
        <v>116</v>
      </c>
      <c r="AG1" s="12" t="s">
        <v>117</v>
      </c>
      <c r="AH1" s="12" t="s">
        <v>118</v>
      </c>
      <c r="AI1" s="12" t="s">
        <v>119</v>
      </c>
      <c r="AJ1" s="16" t="s">
        <v>120</v>
      </c>
      <c r="AK1" s="7" t="s">
        <v>121</v>
      </c>
      <c r="AL1" s="7" t="s">
        <v>122</v>
      </c>
      <c r="AM1" s="1" t="s">
        <v>123</v>
      </c>
      <c r="AN1" s="17" t="s">
        <v>124</v>
      </c>
      <c r="AO1" s="17" t="s">
        <v>125</v>
      </c>
      <c r="AP1" s="17" t="s">
        <v>126</v>
      </c>
      <c r="AQ1" s="17" t="s">
        <v>127</v>
      </c>
      <c r="AR1" s="17" t="s">
        <v>128</v>
      </c>
    </row>
    <row r="2" spans="1:44" x14ac:dyDescent="0.2">
      <c r="A2" s="1" t="s">
        <v>129</v>
      </c>
      <c r="B2" s="1" t="s">
        <v>130</v>
      </c>
      <c r="C2" s="1" t="s">
        <v>2</v>
      </c>
      <c r="D2" s="1" t="s">
        <v>3</v>
      </c>
      <c r="E2" s="1" t="s">
        <v>4</v>
      </c>
      <c r="F2" s="1" t="s">
        <v>131</v>
      </c>
      <c r="G2" s="2">
        <v>15</v>
      </c>
      <c r="H2" s="1"/>
      <c r="I2" s="1" t="s">
        <v>132</v>
      </c>
      <c r="J2" s="1" t="s">
        <v>7</v>
      </c>
      <c r="K2" s="1" t="s">
        <v>52</v>
      </c>
      <c r="L2" s="1" t="s">
        <v>9</v>
      </c>
      <c r="M2" s="1" t="s">
        <v>10</v>
      </c>
      <c r="N2" s="1" t="s">
        <v>11</v>
      </c>
      <c r="O2" s="1"/>
      <c r="P2" s="1" t="s">
        <v>12</v>
      </c>
      <c r="Q2" s="1"/>
      <c r="R2" s="1" t="s">
        <v>133</v>
      </c>
      <c r="S2" s="1" t="s">
        <v>134</v>
      </c>
      <c r="T2" s="1" t="s">
        <v>134</v>
      </c>
      <c r="U2" s="1" t="s">
        <v>135</v>
      </c>
      <c r="V2" s="1" t="s">
        <v>136</v>
      </c>
      <c r="W2" s="1" t="s">
        <v>137</v>
      </c>
      <c r="X2" s="3" t="s">
        <v>15</v>
      </c>
      <c r="Y2" s="1" t="s">
        <v>16</v>
      </c>
      <c r="Z2" s="1"/>
      <c r="AA2" s="1"/>
      <c r="AB2" s="1" t="s">
        <v>17</v>
      </c>
      <c r="AC2" s="1"/>
      <c r="AD2" s="1">
        <v>30</v>
      </c>
      <c r="AE2" s="1" t="s">
        <v>18</v>
      </c>
      <c r="AF2" s="1">
        <v>6</v>
      </c>
      <c r="AG2" s="1" t="s">
        <v>19</v>
      </c>
      <c r="AH2" s="1"/>
      <c r="AI2" s="1" t="s">
        <v>20</v>
      </c>
      <c r="AJ2" s="4">
        <v>1822</v>
      </c>
      <c r="AK2" s="5">
        <v>4293</v>
      </c>
      <c r="AL2" s="5">
        <v>4293</v>
      </c>
      <c r="AM2" s="1"/>
      <c r="AN2" s="6">
        <v>15</v>
      </c>
      <c r="AO2" s="6">
        <v>9</v>
      </c>
      <c r="AP2" s="6">
        <v>7.2</v>
      </c>
      <c r="AQ2" s="6">
        <v>7.2</v>
      </c>
      <c r="AR2" s="6">
        <v>7.2</v>
      </c>
    </row>
    <row r="3" spans="1:44" x14ac:dyDescent="0.2">
      <c r="A3" s="1" t="s">
        <v>138</v>
      </c>
      <c r="B3" s="1" t="s">
        <v>139</v>
      </c>
      <c r="C3" s="1" t="s">
        <v>2</v>
      </c>
      <c r="D3" s="1" t="s">
        <v>3</v>
      </c>
      <c r="E3" s="1" t="s">
        <v>4</v>
      </c>
      <c r="F3" s="1" t="s">
        <v>131</v>
      </c>
      <c r="G3" s="2">
        <v>20</v>
      </c>
      <c r="H3" s="1"/>
      <c r="I3" s="1" t="s">
        <v>132</v>
      </c>
      <c r="J3" s="1" t="s">
        <v>7</v>
      </c>
      <c r="K3" s="1" t="s">
        <v>52</v>
      </c>
      <c r="L3" s="1" t="s">
        <v>9</v>
      </c>
      <c r="M3" s="1" t="s">
        <v>10</v>
      </c>
      <c r="N3" s="1" t="s">
        <v>11</v>
      </c>
      <c r="O3" s="1"/>
      <c r="P3" s="1" t="s">
        <v>12</v>
      </c>
      <c r="Q3" s="1"/>
      <c r="R3" s="1" t="s">
        <v>133</v>
      </c>
      <c r="S3" s="1" t="s">
        <v>134</v>
      </c>
      <c r="T3" s="1" t="s">
        <v>134</v>
      </c>
      <c r="U3" s="1" t="s">
        <v>135</v>
      </c>
      <c r="V3" s="1" t="s">
        <v>136</v>
      </c>
      <c r="W3" s="1" t="s">
        <v>137</v>
      </c>
      <c r="X3" s="3" t="s">
        <v>15</v>
      </c>
      <c r="Y3" s="1" t="s">
        <v>16</v>
      </c>
      <c r="Z3" s="1"/>
      <c r="AA3" s="1"/>
      <c r="AB3" s="1" t="s">
        <v>17</v>
      </c>
      <c r="AC3" s="1"/>
      <c r="AD3" s="1">
        <v>30</v>
      </c>
      <c r="AE3" s="1" t="s">
        <v>18</v>
      </c>
      <c r="AF3" s="1">
        <v>6</v>
      </c>
      <c r="AG3" s="1" t="s">
        <v>19</v>
      </c>
      <c r="AH3" s="1"/>
      <c r="AI3" s="1" t="s">
        <v>20</v>
      </c>
      <c r="AJ3" s="4">
        <v>2088</v>
      </c>
      <c r="AK3" s="5">
        <v>4830</v>
      </c>
      <c r="AL3" s="5">
        <v>4830</v>
      </c>
      <c r="AM3" s="1"/>
      <c r="AN3" s="6">
        <v>20</v>
      </c>
      <c r="AO3" s="6">
        <v>9</v>
      </c>
      <c r="AP3" s="6">
        <v>7.2</v>
      </c>
      <c r="AQ3" s="6">
        <v>7.2</v>
      </c>
      <c r="AR3" s="6">
        <v>7.2</v>
      </c>
    </row>
    <row r="4" spans="1:44" x14ac:dyDescent="0.2">
      <c r="A4" s="1" t="s">
        <v>140</v>
      </c>
      <c r="B4" s="1" t="s">
        <v>141</v>
      </c>
      <c r="C4" s="1" t="s">
        <v>2</v>
      </c>
      <c r="D4" s="1" t="s">
        <v>3</v>
      </c>
      <c r="E4" s="1" t="s">
        <v>4</v>
      </c>
      <c r="F4" s="1" t="s">
        <v>131</v>
      </c>
      <c r="G4" s="2">
        <v>25</v>
      </c>
      <c r="H4" s="1"/>
      <c r="I4" s="1" t="s">
        <v>132</v>
      </c>
      <c r="J4" s="1" t="s">
        <v>7</v>
      </c>
      <c r="K4" s="1" t="s">
        <v>52</v>
      </c>
      <c r="L4" s="1" t="s">
        <v>9</v>
      </c>
      <c r="M4" s="1" t="s">
        <v>10</v>
      </c>
      <c r="N4" s="1" t="s">
        <v>11</v>
      </c>
      <c r="O4" s="1"/>
      <c r="P4" s="1" t="s">
        <v>12</v>
      </c>
      <c r="Q4" s="1"/>
      <c r="R4" s="1" t="s">
        <v>133</v>
      </c>
      <c r="S4" s="1" t="s">
        <v>134</v>
      </c>
      <c r="T4" s="1" t="s">
        <v>134</v>
      </c>
      <c r="U4" s="1" t="s">
        <v>135</v>
      </c>
      <c r="V4" s="1" t="s">
        <v>136</v>
      </c>
      <c r="W4" s="1" t="s">
        <v>137</v>
      </c>
      <c r="X4" s="3" t="s">
        <v>15</v>
      </c>
      <c r="Y4" s="1" t="s">
        <v>16</v>
      </c>
      <c r="Z4" s="1"/>
      <c r="AA4" s="1"/>
      <c r="AB4" s="1" t="s">
        <v>17</v>
      </c>
      <c r="AC4" s="1"/>
      <c r="AD4" s="1">
        <v>30</v>
      </c>
      <c r="AE4" s="1" t="s">
        <v>18</v>
      </c>
      <c r="AF4" s="1">
        <v>6</v>
      </c>
      <c r="AG4" s="1" t="s">
        <v>19</v>
      </c>
      <c r="AH4" s="1"/>
      <c r="AI4" s="1" t="s">
        <v>20</v>
      </c>
      <c r="AJ4" s="4">
        <v>2879</v>
      </c>
      <c r="AK4" s="5">
        <v>6189</v>
      </c>
      <c r="AL4" s="5">
        <v>6189</v>
      </c>
      <c r="AM4" s="1"/>
      <c r="AN4" s="6">
        <v>25</v>
      </c>
      <c r="AO4" s="6">
        <v>14</v>
      </c>
      <c r="AP4" s="6">
        <v>11.200000000000001</v>
      </c>
      <c r="AQ4" s="6">
        <v>11.200000000000001</v>
      </c>
      <c r="AR4" s="6">
        <v>11.200000000000001</v>
      </c>
    </row>
    <row r="5" spans="1:44" x14ac:dyDescent="0.2">
      <c r="A5" s="1" t="s">
        <v>142</v>
      </c>
      <c r="B5" s="1" t="s">
        <v>143</v>
      </c>
      <c r="C5" s="1" t="s">
        <v>2</v>
      </c>
      <c r="D5" s="1" t="s">
        <v>3</v>
      </c>
      <c r="E5" s="1" t="s">
        <v>4</v>
      </c>
      <c r="F5" s="1" t="s">
        <v>131</v>
      </c>
      <c r="G5" s="2">
        <v>40</v>
      </c>
      <c r="H5" s="1"/>
      <c r="I5" s="1" t="s">
        <v>132</v>
      </c>
      <c r="J5" s="1" t="s">
        <v>7</v>
      </c>
      <c r="K5" s="1" t="s">
        <v>52</v>
      </c>
      <c r="L5" s="1" t="s">
        <v>9</v>
      </c>
      <c r="M5" s="1" t="s">
        <v>10</v>
      </c>
      <c r="N5" s="1" t="s">
        <v>11</v>
      </c>
      <c r="O5" s="1"/>
      <c r="P5" s="1" t="s">
        <v>12</v>
      </c>
      <c r="Q5" s="1"/>
      <c r="R5" s="1" t="s">
        <v>133</v>
      </c>
      <c r="S5" s="1" t="s">
        <v>134</v>
      </c>
      <c r="T5" s="1" t="s">
        <v>134</v>
      </c>
      <c r="U5" s="1" t="s">
        <v>135</v>
      </c>
      <c r="V5" s="1" t="s">
        <v>136</v>
      </c>
      <c r="W5" s="1" t="s">
        <v>137</v>
      </c>
      <c r="X5" s="3" t="s">
        <v>15</v>
      </c>
      <c r="Y5" s="1" t="s">
        <v>16</v>
      </c>
      <c r="Z5" s="1"/>
      <c r="AA5" s="1"/>
      <c r="AB5" s="1" t="s">
        <v>17</v>
      </c>
      <c r="AC5" s="1"/>
      <c r="AD5" s="1">
        <v>30</v>
      </c>
      <c r="AE5" s="1" t="s">
        <v>18</v>
      </c>
      <c r="AF5" s="1">
        <v>6</v>
      </c>
      <c r="AG5" s="1" t="s">
        <v>19</v>
      </c>
      <c r="AH5" s="1"/>
      <c r="AI5" s="1" t="s">
        <v>20</v>
      </c>
      <c r="AJ5" s="4">
        <v>4775</v>
      </c>
      <c r="AK5" s="5">
        <v>10496</v>
      </c>
      <c r="AL5" s="5">
        <v>10496</v>
      </c>
      <c r="AM5" s="1"/>
      <c r="AN5" s="6">
        <v>40</v>
      </c>
      <c r="AO5" s="6">
        <v>25</v>
      </c>
      <c r="AP5" s="6">
        <v>20</v>
      </c>
      <c r="AQ5" s="6">
        <v>20</v>
      </c>
      <c r="AR5" s="6">
        <v>20</v>
      </c>
    </row>
    <row r="6" spans="1:44" x14ac:dyDescent="0.2">
      <c r="A6" s="1" t="s">
        <v>144</v>
      </c>
      <c r="B6" s="1" t="s">
        <v>145</v>
      </c>
      <c r="C6" s="1" t="s">
        <v>2</v>
      </c>
      <c r="D6" s="1" t="s">
        <v>3</v>
      </c>
      <c r="E6" s="1" t="s">
        <v>4</v>
      </c>
      <c r="F6" s="1" t="s">
        <v>131</v>
      </c>
      <c r="G6" s="2">
        <v>50</v>
      </c>
      <c r="H6" s="1"/>
      <c r="I6" s="1" t="s">
        <v>132</v>
      </c>
      <c r="J6" s="1" t="s">
        <v>7</v>
      </c>
      <c r="K6" s="1" t="s">
        <v>52</v>
      </c>
      <c r="L6" s="1" t="s">
        <v>9</v>
      </c>
      <c r="M6" s="1" t="s">
        <v>10</v>
      </c>
      <c r="N6" s="1" t="s">
        <v>11</v>
      </c>
      <c r="O6" s="1"/>
      <c r="P6" s="1" t="s">
        <v>12</v>
      </c>
      <c r="Q6" s="1"/>
      <c r="R6" s="1" t="s">
        <v>133</v>
      </c>
      <c r="S6" s="1" t="s">
        <v>134</v>
      </c>
      <c r="T6" s="1" t="s">
        <v>134</v>
      </c>
      <c r="U6" s="1" t="s">
        <v>135</v>
      </c>
      <c r="V6" s="1" t="s">
        <v>136</v>
      </c>
      <c r="W6" s="1" t="s">
        <v>137</v>
      </c>
      <c r="X6" s="3" t="s">
        <v>15</v>
      </c>
      <c r="Y6" s="1" t="s">
        <v>16</v>
      </c>
      <c r="Z6" s="1"/>
      <c r="AA6" s="1"/>
      <c r="AB6" s="1" t="s">
        <v>17</v>
      </c>
      <c r="AC6" s="1"/>
      <c r="AD6" s="1">
        <v>30</v>
      </c>
      <c r="AE6" s="1" t="s">
        <v>18</v>
      </c>
      <c r="AF6" s="1">
        <v>6</v>
      </c>
      <c r="AG6" s="1" t="s">
        <v>19</v>
      </c>
      <c r="AH6" s="1"/>
      <c r="AI6" s="1" t="s">
        <v>20</v>
      </c>
      <c r="AJ6" s="4">
        <v>7817</v>
      </c>
      <c r="AK6" s="5">
        <v>16168</v>
      </c>
      <c r="AL6" s="5">
        <v>16168</v>
      </c>
      <c r="AM6" s="1"/>
      <c r="AN6" s="6">
        <v>50</v>
      </c>
      <c r="AO6" s="6">
        <v>65</v>
      </c>
      <c r="AP6" s="6">
        <v>52</v>
      </c>
      <c r="AQ6" s="6">
        <v>52</v>
      </c>
      <c r="AR6" s="6">
        <v>52</v>
      </c>
    </row>
    <row r="7" spans="1:44" x14ac:dyDescent="0.2">
      <c r="A7" s="1" t="s">
        <v>146</v>
      </c>
      <c r="B7" s="1" t="s">
        <v>147</v>
      </c>
      <c r="C7" s="1" t="s">
        <v>2</v>
      </c>
      <c r="D7" s="1" t="s">
        <v>3</v>
      </c>
      <c r="E7" s="1" t="s">
        <v>4</v>
      </c>
      <c r="F7" s="1" t="s">
        <v>131</v>
      </c>
      <c r="G7" s="2">
        <v>65</v>
      </c>
      <c r="H7" s="1"/>
      <c r="I7" s="1" t="s">
        <v>132</v>
      </c>
      <c r="J7" s="1" t="s">
        <v>7</v>
      </c>
      <c r="K7" s="1" t="s">
        <v>52</v>
      </c>
      <c r="L7" s="1" t="s">
        <v>9</v>
      </c>
      <c r="M7" s="1" t="s">
        <v>10</v>
      </c>
      <c r="N7" s="1" t="s">
        <v>11</v>
      </c>
      <c r="O7" s="1"/>
      <c r="P7" s="1" t="s">
        <v>12</v>
      </c>
      <c r="Q7" s="1"/>
      <c r="R7" s="1" t="s">
        <v>133</v>
      </c>
      <c r="S7" s="1" t="s">
        <v>134</v>
      </c>
      <c r="T7" s="1" t="s">
        <v>134</v>
      </c>
      <c r="U7" s="1" t="s">
        <v>135</v>
      </c>
      <c r="V7" s="1" t="s">
        <v>136</v>
      </c>
      <c r="W7" s="1" t="s">
        <v>137</v>
      </c>
      <c r="X7" s="3" t="s">
        <v>15</v>
      </c>
      <c r="Y7" s="1" t="s">
        <v>16</v>
      </c>
      <c r="Z7" s="1"/>
      <c r="AA7" s="1"/>
      <c r="AB7" s="1" t="s">
        <v>17</v>
      </c>
      <c r="AC7" s="1"/>
      <c r="AD7" s="1">
        <v>30</v>
      </c>
      <c r="AE7" s="1" t="s">
        <v>18</v>
      </c>
      <c r="AF7" s="1">
        <v>6</v>
      </c>
      <c r="AG7" s="1" t="s">
        <v>19</v>
      </c>
      <c r="AH7" s="1"/>
      <c r="AI7" s="1" t="s">
        <v>20</v>
      </c>
      <c r="AJ7" s="4">
        <v>12478</v>
      </c>
      <c r="AK7" s="5">
        <v>25827</v>
      </c>
      <c r="AL7" s="5">
        <v>25827</v>
      </c>
      <c r="AM7" s="1"/>
      <c r="AN7" s="6">
        <v>65</v>
      </c>
      <c r="AO7" s="6">
        <v>90</v>
      </c>
      <c r="AP7" s="6">
        <v>72</v>
      </c>
      <c r="AQ7" s="6">
        <v>72</v>
      </c>
      <c r="AR7" s="6">
        <v>72</v>
      </c>
    </row>
    <row r="8" spans="1:44" x14ac:dyDescent="0.2">
      <c r="A8" s="1" t="s">
        <v>148</v>
      </c>
      <c r="B8" s="1" t="s">
        <v>149</v>
      </c>
      <c r="C8" s="1" t="s">
        <v>2</v>
      </c>
      <c r="D8" s="1" t="s">
        <v>3</v>
      </c>
      <c r="E8" s="1" t="s">
        <v>4</v>
      </c>
      <c r="F8" s="1" t="s">
        <v>131</v>
      </c>
      <c r="G8" s="2">
        <v>80</v>
      </c>
      <c r="H8" s="1"/>
      <c r="I8" s="1" t="s">
        <v>132</v>
      </c>
      <c r="J8" s="1" t="s">
        <v>7</v>
      </c>
      <c r="K8" s="1" t="s">
        <v>52</v>
      </c>
      <c r="L8" s="1" t="s">
        <v>9</v>
      </c>
      <c r="M8" s="1" t="s">
        <v>10</v>
      </c>
      <c r="N8" s="1" t="s">
        <v>11</v>
      </c>
      <c r="O8" s="1"/>
      <c r="P8" s="1" t="s">
        <v>12</v>
      </c>
      <c r="Q8" s="1"/>
      <c r="R8" s="1" t="s">
        <v>133</v>
      </c>
      <c r="S8" s="1" t="s">
        <v>134</v>
      </c>
      <c r="T8" s="1" t="s">
        <v>134</v>
      </c>
      <c r="U8" s="1" t="s">
        <v>135</v>
      </c>
      <c r="V8" s="1" t="s">
        <v>136</v>
      </c>
      <c r="W8" s="1" t="s">
        <v>137</v>
      </c>
      <c r="X8" s="3" t="s">
        <v>15</v>
      </c>
      <c r="Y8" s="1" t="s">
        <v>16</v>
      </c>
      <c r="Z8" s="1"/>
      <c r="AA8" s="1"/>
      <c r="AB8" s="1" t="s">
        <v>17</v>
      </c>
      <c r="AC8" s="1"/>
      <c r="AD8" s="1">
        <v>30</v>
      </c>
      <c r="AE8" s="1" t="s">
        <v>18</v>
      </c>
      <c r="AF8" s="1">
        <v>6</v>
      </c>
      <c r="AG8" s="1" t="s">
        <v>19</v>
      </c>
      <c r="AH8" s="1"/>
      <c r="AI8" s="1" t="s">
        <v>20</v>
      </c>
      <c r="AJ8" s="4">
        <v>16791</v>
      </c>
      <c r="AK8" s="5">
        <v>34766</v>
      </c>
      <c r="AL8" s="5">
        <v>34766</v>
      </c>
      <c r="AM8" s="1"/>
      <c r="AN8" s="6">
        <v>80</v>
      </c>
      <c r="AO8" s="6">
        <v>150</v>
      </c>
      <c r="AP8" s="6">
        <v>120</v>
      </c>
      <c r="AQ8" s="6">
        <v>120</v>
      </c>
      <c r="AR8" s="6">
        <v>120</v>
      </c>
    </row>
    <row r="9" spans="1:44" x14ac:dyDescent="0.2">
      <c r="A9" s="1" t="s">
        <v>150</v>
      </c>
      <c r="B9" s="1" t="s">
        <v>151</v>
      </c>
      <c r="C9" s="1" t="s">
        <v>2</v>
      </c>
      <c r="D9" s="1" t="s">
        <v>3</v>
      </c>
      <c r="E9" s="1" t="s">
        <v>4</v>
      </c>
      <c r="F9" s="1" t="s">
        <v>131</v>
      </c>
      <c r="G9" s="2">
        <v>100</v>
      </c>
      <c r="H9" s="1"/>
      <c r="I9" s="1" t="s">
        <v>132</v>
      </c>
      <c r="J9" s="1" t="s">
        <v>7</v>
      </c>
      <c r="K9" s="1" t="s">
        <v>52</v>
      </c>
      <c r="L9" s="1" t="s">
        <v>9</v>
      </c>
      <c r="M9" s="1" t="s">
        <v>10</v>
      </c>
      <c r="N9" s="1" t="s">
        <v>11</v>
      </c>
      <c r="O9" s="1"/>
      <c r="P9" s="1" t="s">
        <v>12</v>
      </c>
      <c r="Q9" s="1"/>
      <c r="R9" s="1" t="s">
        <v>133</v>
      </c>
      <c r="S9" s="1" t="s">
        <v>134</v>
      </c>
      <c r="T9" s="1" t="s">
        <v>134</v>
      </c>
      <c r="U9" s="1" t="s">
        <v>135</v>
      </c>
      <c r="V9" s="1" t="s">
        <v>136</v>
      </c>
      <c r="W9" s="1" t="s">
        <v>137</v>
      </c>
      <c r="X9" s="3" t="s">
        <v>15</v>
      </c>
      <c r="Y9" s="1" t="s">
        <v>16</v>
      </c>
      <c r="Z9" s="1"/>
      <c r="AA9" s="1"/>
      <c r="AB9" s="1" t="s">
        <v>17</v>
      </c>
      <c r="AC9" s="1"/>
      <c r="AD9" s="1">
        <v>30</v>
      </c>
      <c r="AE9" s="1" t="s">
        <v>18</v>
      </c>
      <c r="AF9" s="1">
        <v>6</v>
      </c>
      <c r="AG9" s="1" t="s">
        <v>19</v>
      </c>
      <c r="AH9" s="1"/>
      <c r="AI9" s="1" t="s">
        <v>20</v>
      </c>
      <c r="AJ9" s="4">
        <v>27319</v>
      </c>
      <c r="AK9" s="5">
        <v>56586</v>
      </c>
      <c r="AL9" s="5">
        <v>56586</v>
      </c>
      <c r="AM9" s="1"/>
      <c r="AN9" s="6">
        <v>100</v>
      </c>
      <c r="AO9" s="6">
        <v>165</v>
      </c>
      <c r="AP9" s="6">
        <v>132</v>
      </c>
      <c r="AQ9" s="6">
        <v>132</v>
      </c>
      <c r="AR9" s="6">
        <v>132</v>
      </c>
    </row>
    <row r="10" spans="1:44" x14ac:dyDescent="0.2">
      <c r="A10" s="1" t="s">
        <v>152</v>
      </c>
      <c r="B10" s="1" t="s">
        <v>153</v>
      </c>
      <c r="C10" s="1" t="s">
        <v>2</v>
      </c>
      <c r="D10" s="1" t="s">
        <v>3</v>
      </c>
      <c r="E10" s="1" t="s">
        <v>4</v>
      </c>
      <c r="F10" s="1" t="s">
        <v>131</v>
      </c>
      <c r="G10" s="2">
        <v>150</v>
      </c>
      <c r="H10" s="1"/>
      <c r="I10" s="1" t="s">
        <v>132</v>
      </c>
      <c r="J10" s="1" t="s">
        <v>7</v>
      </c>
      <c r="K10" s="1" t="s">
        <v>52</v>
      </c>
      <c r="L10" s="1" t="s">
        <v>9</v>
      </c>
      <c r="M10" s="1" t="s">
        <v>10</v>
      </c>
      <c r="N10" s="1" t="s">
        <v>11</v>
      </c>
      <c r="O10" s="1"/>
      <c r="P10" s="1" t="s">
        <v>12</v>
      </c>
      <c r="Q10" s="1"/>
      <c r="R10" s="1" t="s">
        <v>133</v>
      </c>
      <c r="S10" s="1" t="s">
        <v>134</v>
      </c>
      <c r="T10" s="1" t="s">
        <v>134</v>
      </c>
      <c r="U10" s="1" t="s">
        <v>135</v>
      </c>
      <c r="V10" s="1" t="s">
        <v>136</v>
      </c>
      <c r="W10" s="1" t="s">
        <v>137</v>
      </c>
      <c r="X10" s="3" t="s">
        <v>15</v>
      </c>
      <c r="Y10" s="1" t="s">
        <v>16</v>
      </c>
      <c r="Z10" s="1"/>
      <c r="AA10" s="1"/>
      <c r="AB10" s="1" t="s">
        <v>17</v>
      </c>
      <c r="AC10" s="1"/>
      <c r="AD10" s="1">
        <v>30</v>
      </c>
      <c r="AE10" s="1" t="s">
        <v>18</v>
      </c>
      <c r="AF10" s="1">
        <v>6</v>
      </c>
      <c r="AG10" s="1" t="s">
        <v>19</v>
      </c>
      <c r="AH10" s="1"/>
      <c r="AI10" s="1" t="s">
        <v>20</v>
      </c>
      <c r="AJ10" s="4">
        <v>66378</v>
      </c>
      <c r="AK10" s="5">
        <v>137533</v>
      </c>
      <c r="AL10" s="5">
        <v>137533</v>
      </c>
      <c r="AM10" s="1"/>
      <c r="AN10" s="6">
        <v>150</v>
      </c>
      <c r="AO10" s="6">
        <v>250</v>
      </c>
      <c r="AP10" s="6">
        <v>200</v>
      </c>
      <c r="AQ10" s="6">
        <v>200</v>
      </c>
      <c r="AR10" s="6">
        <v>200</v>
      </c>
    </row>
    <row r="11" spans="1:44" x14ac:dyDescent="0.2">
      <c r="A11" s="1" t="s">
        <v>154</v>
      </c>
      <c r="B11" s="1" t="s">
        <v>155</v>
      </c>
      <c r="C11" s="1" t="s">
        <v>2</v>
      </c>
      <c r="D11" s="1" t="s">
        <v>3</v>
      </c>
      <c r="E11" s="1" t="s">
        <v>4</v>
      </c>
      <c r="F11" s="1" t="s">
        <v>131</v>
      </c>
      <c r="G11" s="2">
        <v>200</v>
      </c>
      <c r="H11" s="1"/>
      <c r="I11" s="1" t="s">
        <v>132</v>
      </c>
      <c r="J11" s="1" t="s">
        <v>7</v>
      </c>
      <c r="K11" s="1" t="s">
        <v>52</v>
      </c>
      <c r="L11" s="1" t="s">
        <v>9</v>
      </c>
      <c r="M11" s="1" t="s">
        <v>10</v>
      </c>
      <c r="N11" s="1" t="s">
        <v>11</v>
      </c>
      <c r="O11" s="1"/>
      <c r="P11" s="1" t="s">
        <v>12</v>
      </c>
      <c r="Q11" s="1"/>
      <c r="R11" s="1" t="s">
        <v>133</v>
      </c>
      <c r="S11" s="1" t="s">
        <v>134</v>
      </c>
      <c r="T11" s="1" t="s">
        <v>134</v>
      </c>
      <c r="U11" s="1" t="s">
        <v>135</v>
      </c>
      <c r="V11" s="1" t="s">
        <v>136</v>
      </c>
      <c r="W11" s="1" t="s">
        <v>137</v>
      </c>
      <c r="X11" s="3" t="s">
        <v>15</v>
      </c>
      <c r="Y11" s="1" t="s">
        <v>16</v>
      </c>
      <c r="Z11" s="1"/>
      <c r="AA11" s="1"/>
      <c r="AB11" s="1" t="s">
        <v>17</v>
      </c>
      <c r="AC11" s="1"/>
      <c r="AD11" s="1">
        <v>30</v>
      </c>
      <c r="AE11" s="1" t="s">
        <v>18</v>
      </c>
      <c r="AF11" s="1">
        <v>6</v>
      </c>
      <c r="AG11" s="1" t="s">
        <v>19</v>
      </c>
      <c r="AH11" s="1"/>
      <c r="AI11" s="1" t="s">
        <v>20</v>
      </c>
      <c r="AJ11" s="4">
        <v>148363</v>
      </c>
      <c r="AK11" s="5">
        <v>307443</v>
      </c>
      <c r="AL11" s="5">
        <v>307443</v>
      </c>
      <c r="AM11" s="1"/>
      <c r="AN11" s="6">
        <v>200</v>
      </c>
      <c r="AO11" s="6">
        <v>650</v>
      </c>
      <c r="AP11" s="6">
        <v>520</v>
      </c>
      <c r="AQ11" s="6">
        <v>520</v>
      </c>
      <c r="AR11" s="6">
        <v>520</v>
      </c>
    </row>
    <row r="12" spans="1:44" x14ac:dyDescent="0.2">
      <c r="A12" s="1" t="s">
        <v>156</v>
      </c>
      <c r="B12" s="1" t="s">
        <v>157</v>
      </c>
      <c r="C12" s="1" t="s">
        <v>2</v>
      </c>
      <c r="D12" s="1" t="s">
        <v>3</v>
      </c>
      <c r="E12" s="1" t="s">
        <v>4</v>
      </c>
      <c r="F12" s="1" t="s">
        <v>131</v>
      </c>
      <c r="G12" s="2">
        <v>15</v>
      </c>
      <c r="H12" s="1"/>
      <c r="I12" s="1" t="s">
        <v>132</v>
      </c>
      <c r="J12" s="1" t="s">
        <v>7</v>
      </c>
      <c r="K12" s="1" t="s">
        <v>32</v>
      </c>
      <c r="L12" s="1" t="s">
        <v>9</v>
      </c>
      <c r="M12" s="1" t="s">
        <v>10</v>
      </c>
      <c r="N12" s="1" t="s">
        <v>11</v>
      </c>
      <c r="O12" s="1"/>
      <c r="P12" s="1" t="s">
        <v>12</v>
      </c>
      <c r="Q12" s="1"/>
      <c r="R12" s="1" t="s">
        <v>133</v>
      </c>
      <c r="S12" s="1" t="s">
        <v>134</v>
      </c>
      <c r="T12" s="1" t="s">
        <v>134</v>
      </c>
      <c r="U12" s="1" t="s">
        <v>135</v>
      </c>
      <c r="V12" s="1" t="s">
        <v>136</v>
      </c>
      <c r="W12" s="1" t="s">
        <v>137</v>
      </c>
      <c r="X12" s="3" t="s">
        <v>15</v>
      </c>
      <c r="Y12" s="1" t="s">
        <v>16</v>
      </c>
      <c r="Z12" s="1"/>
      <c r="AA12" s="1"/>
      <c r="AB12" s="1" t="s">
        <v>17</v>
      </c>
      <c r="AC12" s="1"/>
      <c r="AD12" s="1">
        <v>30</v>
      </c>
      <c r="AE12" s="1" t="s">
        <v>18</v>
      </c>
      <c r="AF12" s="1">
        <v>6</v>
      </c>
      <c r="AG12" s="1" t="s">
        <v>19</v>
      </c>
      <c r="AH12" s="1"/>
      <c r="AI12" s="1" t="s">
        <v>20</v>
      </c>
      <c r="AJ12" s="4">
        <v>2685</v>
      </c>
      <c r="AK12" s="5">
        <v>5963</v>
      </c>
      <c r="AL12" s="5">
        <v>5963</v>
      </c>
      <c r="AM12" s="1"/>
      <c r="AN12" s="6">
        <v>15</v>
      </c>
      <c r="AO12" s="6">
        <v>9</v>
      </c>
      <c r="AP12" s="6">
        <v>7.2</v>
      </c>
      <c r="AQ12" s="6">
        <v>7.2</v>
      </c>
      <c r="AR12" s="6">
        <v>7.2</v>
      </c>
    </row>
    <row r="13" spans="1:44" x14ac:dyDescent="0.2">
      <c r="A13" s="1" t="s">
        <v>158</v>
      </c>
      <c r="B13" s="1" t="s">
        <v>159</v>
      </c>
      <c r="C13" s="1" t="s">
        <v>2</v>
      </c>
      <c r="D13" s="1" t="s">
        <v>3</v>
      </c>
      <c r="E13" s="1" t="s">
        <v>4</v>
      </c>
      <c r="F13" s="1" t="s">
        <v>131</v>
      </c>
      <c r="G13" s="2">
        <v>20</v>
      </c>
      <c r="H13" s="1"/>
      <c r="I13" s="1" t="s">
        <v>132</v>
      </c>
      <c r="J13" s="1" t="s">
        <v>7</v>
      </c>
      <c r="K13" s="1" t="s">
        <v>32</v>
      </c>
      <c r="L13" s="1" t="s">
        <v>9</v>
      </c>
      <c r="M13" s="1" t="s">
        <v>10</v>
      </c>
      <c r="N13" s="1" t="s">
        <v>11</v>
      </c>
      <c r="O13" s="1"/>
      <c r="P13" s="1" t="s">
        <v>12</v>
      </c>
      <c r="Q13" s="1"/>
      <c r="R13" s="1" t="s">
        <v>133</v>
      </c>
      <c r="S13" s="1" t="s">
        <v>134</v>
      </c>
      <c r="T13" s="1" t="s">
        <v>134</v>
      </c>
      <c r="U13" s="1" t="s">
        <v>135</v>
      </c>
      <c r="V13" s="1" t="s">
        <v>136</v>
      </c>
      <c r="W13" s="1" t="s">
        <v>137</v>
      </c>
      <c r="X13" s="3" t="s">
        <v>15</v>
      </c>
      <c r="Y13" s="1" t="s">
        <v>16</v>
      </c>
      <c r="Z13" s="1"/>
      <c r="AA13" s="1"/>
      <c r="AB13" s="1" t="s">
        <v>17</v>
      </c>
      <c r="AC13" s="1"/>
      <c r="AD13" s="1">
        <v>30</v>
      </c>
      <c r="AE13" s="1" t="s">
        <v>18</v>
      </c>
      <c r="AF13" s="1">
        <v>6</v>
      </c>
      <c r="AG13" s="1" t="s">
        <v>19</v>
      </c>
      <c r="AH13" s="1"/>
      <c r="AI13" s="1" t="s">
        <v>20</v>
      </c>
      <c r="AJ13" s="4">
        <v>3091</v>
      </c>
      <c r="AK13" s="5">
        <v>10283</v>
      </c>
      <c r="AL13" s="5">
        <v>10283</v>
      </c>
      <c r="AM13" s="1"/>
      <c r="AN13" s="6">
        <v>20</v>
      </c>
      <c r="AO13" s="6">
        <v>9</v>
      </c>
      <c r="AP13" s="6">
        <v>7.2</v>
      </c>
      <c r="AQ13" s="6">
        <v>7.2</v>
      </c>
      <c r="AR13" s="6">
        <v>7.2</v>
      </c>
    </row>
    <row r="14" spans="1:44" x14ac:dyDescent="0.2">
      <c r="A14" s="1" t="s">
        <v>160</v>
      </c>
      <c r="B14" s="1" t="s">
        <v>161</v>
      </c>
      <c r="C14" s="1" t="s">
        <v>2</v>
      </c>
      <c r="D14" s="1" t="s">
        <v>3</v>
      </c>
      <c r="E14" s="1" t="s">
        <v>4</v>
      </c>
      <c r="F14" s="1" t="s">
        <v>131</v>
      </c>
      <c r="G14" s="2">
        <v>25</v>
      </c>
      <c r="H14" s="1"/>
      <c r="I14" s="1" t="s">
        <v>132</v>
      </c>
      <c r="J14" s="1" t="s">
        <v>7</v>
      </c>
      <c r="K14" s="1" t="s">
        <v>32</v>
      </c>
      <c r="L14" s="1" t="s">
        <v>9</v>
      </c>
      <c r="M14" s="1" t="s">
        <v>10</v>
      </c>
      <c r="N14" s="1" t="s">
        <v>11</v>
      </c>
      <c r="O14" s="1"/>
      <c r="P14" s="1" t="s">
        <v>12</v>
      </c>
      <c r="Q14" s="1"/>
      <c r="R14" s="1" t="s">
        <v>133</v>
      </c>
      <c r="S14" s="1" t="s">
        <v>134</v>
      </c>
      <c r="T14" s="1" t="s">
        <v>134</v>
      </c>
      <c r="U14" s="1" t="s">
        <v>135</v>
      </c>
      <c r="V14" s="1" t="s">
        <v>136</v>
      </c>
      <c r="W14" s="1" t="s">
        <v>137</v>
      </c>
      <c r="X14" s="3" t="s">
        <v>15</v>
      </c>
      <c r="Y14" s="1" t="s">
        <v>16</v>
      </c>
      <c r="Z14" s="1"/>
      <c r="AA14" s="1"/>
      <c r="AB14" s="1" t="s">
        <v>17</v>
      </c>
      <c r="AC14" s="1"/>
      <c r="AD14" s="1">
        <v>30</v>
      </c>
      <c r="AE14" s="1" t="s">
        <v>18</v>
      </c>
      <c r="AF14" s="1">
        <v>6</v>
      </c>
      <c r="AG14" s="1" t="s">
        <v>19</v>
      </c>
      <c r="AH14" s="1"/>
      <c r="AI14" s="1" t="s">
        <v>20</v>
      </c>
      <c r="AJ14" s="4">
        <v>4685</v>
      </c>
      <c r="AK14" s="5">
        <v>13261</v>
      </c>
      <c r="AL14" s="5">
        <v>13261</v>
      </c>
      <c r="AM14" s="1"/>
      <c r="AN14" s="6">
        <v>25</v>
      </c>
      <c r="AO14" s="6">
        <v>14</v>
      </c>
      <c r="AP14" s="6">
        <v>11.200000000000001</v>
      </c>
      <c r="AQ14" s="6">
        <v>11.200000000000001</v>
      </c>
      <c r="AR14" s="6">
        <v>11.200000000000001</v>
      </c>
    </row>
    <row r="15" spans="1:44" x14ac:dyDescent="0.2">
      <c r="A15" s="1" t="s">
        <v>162</v>
      </c>
      <c r="B15" s="1" t="s">
        <v>163</v>
      </c>
      <c r="C15" s="1" t="s">
        <v>2</v>
      </c>
      <c r="D15" s="1" t="s">
        <v>3</v>
      </c>
      <c r="E15" s="1" t="s">
        <v>4</v>
      </c>
      <c r="F15" s="1" t="s">
        <v>131</v>
      </c>
      <c r="G15" s="2">
        <v>40</v>
      </c>
      <c r="H15" s="1"/>
      <c r="I15" s="1" t="s">
        <v>132</v>
      </c>
      <c r="J15" s="1" t="s">
        <v>7</v>
      </c>
      <c r="K15" s="1" t="s">
        <v>32</v>
      </c>
      <c r="L15" s="1" t="s">
        <v>9</v>
      </c>
      <c r="M15" s="1" t="s">
        <v>10</v>
      </c>
      <c r="N15" s="1" t="s">
        <v>11</v>
      </c>
      <c r="O15" s="1"/>
      <c r="P15" s="1" t="s">
        <v>12</v>
      </c>
      <c r="Q15" s="1"/>
      <c r="R15" s="1" t="s">
        <v>133</v>
      </c>
      <c r="S15" s="1" t="s">
        <v>134</v>
      </c>
      <c r="T15" s="1" t="s">
        <v>134</v>
      </c>
      <c r="U15" s="1" t="s">
        <v>135</v>
      </c>
      <c r="V15" s="1" t="s">
        <v>136</v>
      </c>
      <c r="W15" s="1" t="s">
        <v>137</v>
      </c>
      <c r="X15" s="3" t="s">
        <v>15</v>
      </c>
      <c r="Y15" s="1" t="s">
        <v>16</v>
      </c>
      <c r="Z15" s="1"/>
      <c r="AA15" s="1"/>
      <c r="AB15" s="1" t="s">
        <v>17</v>
      </c>
      <c r="AC15" s="1"/>
      <c r="AD15" s="1">
        <v>30</v>
      </c>
      <c r="AE15" s="1" t="s">
        <v>18</v>
      </c>
      <c r="AF15" s="1">
        <v>6</v>
      </c>
      <c r="AG15" s="1" t="s">
        <v>19</v>
      </c>
      <c r="AH15" s="1"/>
      <c r="AI15" s="1" t="s">
        <v>20</v>
      </c>
      <c r="AJ15" s="4">
        <v>7403</v>
      </c>
      <c r="AK15" s="5">
        <v>21143</v>
      </c>
      <c r="AL15" s="5">
        <v>21143</v>
      </c>
      <c r="AM15" s="1"/>
      <c r="AN15" s="6">
        <v>40</v>
      </c>
      <c r="AO15" s="6">
        <v>25</v>
      </c>
      <c r="AP15" s="6">
        <v>20</v>
      </c>
      <c r="AQ15" s="6">
        <v>20</v>
      </c>
      <c r="AR15" s="6">
        <v>20</v>
      </c>
    </row>
    <row r="16" spans="1:44" x14ac:dyDescent="0.2">
      <c r="A16" s="1" t="s">
        <v>164</v>
      </c>
      <c r="B16" s="1" t="s">
        <v>165</v>
      </c>
      <c r="C16" s="1" t="s">
        <v>2</v>
      </c>
      <c r="D16" s="1" t="s">
        <v>3</v>
      </c>
      <c r="E16" s="1" t="s">
        <v>4</v>
      </c>
      <c r="F16" s="1" t="s">
        <v>131</v>
      </c>
      <c r="G16" s="2">
        <v>50</v>
      </c>
      <c r="H16" s="1"/>
      <c r="I16" s="1" t="s">
        <v>132</v>
      </c>
      <c r="J16" s="1" t="s">
        <v>7</v>
      </c>
      <c r="K16" s="1" t="s">
        <v>32</v>
      </c>
      <c r="L16" s="1" t="s">
        <v>9</v>
      </c>
      <c r="M16" s="1" t="s">
        <v>10</v>
      </c>
      <c r="N16" s="1" t="s">
        <v>11</v>
      </c>
      <c r="O16" s="1"/>
      <c r="P16" s="1" t="s">
        <v>12</v>
      </c>
      <c r="Q16" s="1"/>
      <c r="R16" s="1" t="s">
        <v>133</v>
      </c>
      <c r="S16" s="1" t="s">
        <v>134</v>
      </c>
      <c r="T16" s="1" t="s">
        <v>134</v>
      </c>
      <c r="U16" s="1" t="s">
        <v>135</v>
      </c>
      <c r="V16" s="1" t="s">
        <v>136</v>
      </c>
      <c r="W16" s="1" t="s">
        <v>137</v>
      </c>
      <c r="X16" s="3" t="s">
        <v>15</v>
      </c>
      <c r="Y16" s="1" t="s">
        <v>16</v>
      </c>
      <c r="Z16" s="1"/>
      <c r="AA16" s="1"/>
      <c r="AB16" s="1" t="s">
        <v>17</v>
      </c>
      <c r="AC16" s="1"/>
      <c r="AD16" s="1">
        <v>30</v>
      </c>
      <c r="AE16" s="1" t="s">
        <v>18</v>
      </c>
      <c r="AF16" s="1">
        <v>6</v>
      </c>
      <c r="AG16" s="1" t="s">
        <v>19</v>
      </c>
      <c r="AH16" s="1"/>
      <c r="AI16" s="1" t="s">
        <v>20</v>
      </c>
      <c r="AJ16" s="4">
        <v>11868</v>
      </c>
      <c r="AK16" s="5">
        <v>26370</v>
      </c>
      <c r="AL16" s="5">
        <v>26370</v>
      </c>
      <c r="AM16" s="1"/>
      <c r="AN16" s="6">
        <v>50</v>
      </c>
      <c r="AO16" s="6">
        <v>65</v>
      </c>
      <c r="AP16" s="6">
        <v>52</v>
      </c>
      <c r="AQ16" s="6">
        <v>52</v>
      </c>
      <c r="AR16" s="6">
        <v>52</v>
      </c>
    </row>
    <row r="17" spans="1:44" x14ac:dyDescent="0.2">
      <c r="A17" s="1" t="s">
        <v>166</v>
      </c>
      <c r="B17" s="1" t="s">
        <v>167</v>
      </c>
      <c r="C17" s="1" t="s">
        <v>2</v>
      </c>
      <c r="D17" s="1" t="s">
        <v>3</v>
      </c>
      <c r="E17" s="1" t="s">
        <v>4</v>
      </c>
      <c r="F17" s="1" t="s">
        <v>131</v>
      </c>
      <c r="G17" s="2">
        <v>65</v>
      </c>
      <c r="H17" s="1"/>
      <c r="I17" s="1" t="s">
        <v>132</v>
      </c>
      <c r="J17" s="1" t="s">
        <v>7</v>
      </c>
      <c r="K17" s="1" t="s">
        <v>32</v>
      </c>
      <c r="L17" s="1" t="s">
        <v>9</v>
      </c>
      <c r="M17" s="1" t="s">
        <v>10</v>
      </c>
      <c r="N17" s="1" t="s">
        <v>11</v>
      </c>
      <c r="O17" s="1"/>
      <c r="P17" s="1" t="s">
        <v>12</v>
      </c>
      <c r="Q17" s="1"/>
      <c r="R17" s="1" t="s">
        <v>133</v>
      </c>
      <c r="S17" s="1" t="s">
        <v>134</v>
      </c>
      <c r="T17" s="1" t="s">
        <v>134</v>
      </c>
      <c r="U17" s="1" t="s">
        <v>135</v>
      </c>
      <c r="V17" s="1" t="s">
        <v>136</v>
      </c>
      <c r="W17" s="1" t="s">
        <v>137</v>
      </c>
      <c r="X17" s="3" t="s">
        <v>15</v>
      </c>
      <c r="Y17" s="1" t="s">
        <v>16</v>
      </c>
      <c r="Z17" s="1"/>
      <c r="AA17" s="1"/>
      <c r="AB17" s="1" t="s">
        <v>17</v>
      </c>
      <c r="AC17" s="1"/>
      <c r="AD17" s="1">
        <v>30</v>
      </c>
      <c r="AE17" s="1" t="s">
        <v>18</v>
      </c>
      <c r="AF17" s="1">
        <v>6</v>
      </c>
      <c r="AG17" s="1" t="s">
        <v>19</v>
      </c>
      <c r="AH17" s="1"/>
      <c r="AI17" s="1" t="s">
        <v>20</v>
      </c>
      <c r="AJ17" s="4">
        <v>18668</v>
      </c>
      <c r="AK17" s="5">
        <v>42617</v>
      </c>
      <c r="AL17" s="5">
        <v>42617</v>
      </c>
      <c r="AM17" s="1"/>
      <c r="AN17" s="6">
        <v>65</v>
      </c>
      <c r="AO17" s="6">
        <v>90</v>
      </c>
      <c r="AP17" s="6">
        <v>72</v>
      </c>
      <c r="AQ17" s="6">
        <v>72</v>
      </c>
      <c r="AR17" s="6">
        <v>72</v>
      </c>
    </row>
    <row r="18" spans="1:44" x14ac:dyDescent="0.2">
      <c r="A18" s="1" t="s">
        <v>168</v>
      </c>
      <c r="B18" s="1" t="s">
        <v>169</v>
      </c>
      <c r="C18" s="1" t="s">
        <v>2</v>
      </c>
      <c r="D18" s="1" t="s">
        <v>3</v>
      </c>
      <c r="E18" s="1" t="s">
        <v>4</v>
      </c>
      <c r="F18" s="1" t="s">
        <v>131</v>
      </c>
      <c r="G18" s="2">
        <v>80</v>
      </c>
      <c r="H18" s="1"/>
      <c r="I18" s="1" t="s">
        <v>132</v>
      </c>
      <c r="J18" s="1" t="s">
        <v>7</v>
      </c>
      <c r="K18" s="1" t="s">
        <v>32</v>
      </c>
      <c r="L18" s="1" t="s">
        <v>9</v>
      </c>
      <c r="M18" s="1" t="s">
        <v>10</v>
      </c>
      <c r="N18" s="1" t="s">
        <v>11</v>
      </c>
      <c r="O18" s="1"/>
      <c r="P18" s="1" t="s">
        <v>12</v>
      </c>
      <c r="Q18" s="1"/>
      <c r="R18" s="1" t="s">
        <v>133</v>
      </c>
      <c r="S18" s="1" t="s">
        <v>134</v>
      </c>
      <c r="T18" s="1" t="s">
        <v>134</v>
      </c>
      <c r="U18" s="1" t="s">
        <v>135</v>
      </c>
      <c r="V18" s="1" t="s">
        <v>136</v>
      </c>
      <c r="W18" s="1" t="s">
        <v>137</v>
      </c>
      <c r="X18" s="3" t="s">
        <v>15</v>
      </c>
      <c r="Y18" s="1" t="s">
        <v>16</v>
      </c>
      <c r="Z18" s="1"/>
      <c r="AA18" s="1"/>
      <c r="AB18" s="1" t="s">
        <v>17</v>
      </c>
      <c r="AC18" s="1"/>
      <c r="AD18" s="1">
        <v>30</v>
      </c>
      <c r="AE18" s="1" t="s">
        <v>18</v>
      </c>
      <c r="AF18" s="1">
        <v>6</v>
      </c>
      <c r="AG18" s="1" t="s">
        <v>19</v>
      </c>
      <c r="AH18" s="1"/>
      <c r="AI18" s="1" t="s">
        <v>20</v>
      </c>
      <c r="AJ18" s="4">
        <v>25000</v>
      </c>
      <c r="AK18" s="5">
        <v>56019</v>
      </c>
      <c r="AL18" s="5">
        <v>56019</v>
      </c>
      <c r="AM18" s="1"/>
      <c r="AN18" s="6">
        <v>80</v>
      </c>
      <c r="AO18" s="6">
        <v>150</v>
      </c>
      <c r="AP18" s="6">
        <v>120</v>
      </c>
      <c r="AQ18" s="6">
        <v>120</v>
      </c>
      <c r="AR18" s="6">
        <v>120</v>
      </c>
    </row>
    <row r="19" spans="1:44" x14ac:dyDescent="0.2">
      <c r="A19" s="1" t="s">
        <v>170</v>
      </c>
      <c r="B19" s="1" t="s">
        <v>171</v>
      </c>
      <c r="C19" s="1" t="s">
        <v>2</v>
      </c>
      <c r="D19" s="1" t="s">
        <v>3</v>
      </c>
      <c r="E19" s="1" t="s">
        <v>4</v>
      </c>
      <c r="F19" s="1" t="s">
        <v>131</v>
      </c>
      <c r="G19" s="2">
        <v>100</v>
      </c>
      <c r="H19" s="1"/>
      <c r="I19" s="1" t="s">
        <v>132</v>
      </c>
      <c r="J19" s="1" t="s">
        <v>7</v>
      </c>
      <c r="K19" s="1" t="s">
        <v>32</v>
      </c>
      <c r="L19" s="1" t="s">
        <v>9</v>
      </c>
      <c r="M19" s="1" t="s">
        <v>10</v>
      </c>
      <c r="N19" s="1" t="s">
        <v>11</v>
      </c>
      <c r="O19" s="1"/>
      <c r="P19" s="1" t="s">
        <v>12</v>
      </c>
      <c r="Q19" s="1"/>
      <c r="R19" s="1" t="s">
        <v>133</v>
      </c>
      <c r="S19" s="1" t="s">
        <v>134</v>
      </c>
      <c r="T19" s="1" t="s">
        <v>134</v>
      </c>
      <c r="U19" s="1" t="s">
        <v>135</v>
      </c>
      <c r="V19" s="1" t="s">
        <v>136</v>
      </c>
      <c r="W19" s="1" t="s">
        <v>137</v>
      </c>
      <c r="X19" s="3" t="s">
        <v>15</v>
      </c>
      <c r="Y19" s="1" t="s">
        <v>16</v>
      </c>
      <c r="Z19" s="1"/>
      <c r="AA19" s="1"/>
      <c r="AB19" s="1" t="s">
        <v>17</v>
      </c>
      <c r="AC19" s="1"/>
      <c r="AD19" s="1">
        <v>30</v>
      </c>
      <c r="AE19" s="1" t="s">
        <v>18</v>
      </c>
      <c r="AF19" s="1">
        <v>6</v>
      </c>
      <c r="AG19" s="1" t="s">
        <v>19</v>
      </c>
      <c r="AH19" s="1"/>
      <c r="AI19" s="1" t="s">
        <v>20</v>
      </c>
      <c r="AJ19" s="4">
        <v>40198</v>
      </c>
      <c r="AK19" s="5">
        <v>86537</v>
      </c>
      <c r="AL19" s="5">
        <v>86537</v>
      </c>
      <c r="AM19" s="1"/>
      <c r="AN19" s="6">
        <v>100</v>
      </c>
      <c r="AO19" s="6">
        <v>165</v>
      </c>
      <c r="AP19" s="6">
        <v>132</v>
      </c>
      <c r="AQ19" s="6">
        <v>132</v>
      </c>
      <c r="AR19" s="6">
        <v>132</v>
      </c>
    </row>
    <row r="20" spans="1:44" x14ac:dyDescent="0.2">
      <c r="A20" s="1" t="s">
        <v>172</v>
      </c>
      <c r="B20" s="1" t="s">
        <v>173</v>
      </c>
      <c r="C20" s="1" t="s">
        <v>2</v>
      </c>
      <c r="D20" s="1" t="s">
        <v>3</v>
      </c>
      <c r="E20" s="1" t="s">
        <v>4</v>
      </c>
      <c r="F20" s="1" t="s">
        <v>131</v>
      </c>
      <c r="G20" s="2">
        <v>150</v>
      </c>
      <c r="H20" s="1"/>
      <c r="I20" s="1" t="s">
        <v>132</v>
      </c>
      <c r="J20" s="1" t="s">
        <v>7</v>
      </c>
      <c r="K20" s="1" t="s">
        <v>32</v>
      </c>
      <c r="L20" s="1" t="s">
        <v>9</v>
      </c>
      <c r="M20" s="1" t="s">
        <v>10</v>
      </c>
      <c r="N20" s="1" t="s">
        <v>11</v>
      </c>
      <c r="O20" s="1"/>
      <c r="P20" s="1" t="s">
        <v>12</v>
      </c>
      <c r="Q20" s="1"/>
      <c r="R20" s="1" t="s">
        <v>133</v>
      </c>
      <c r="S20" s="1" t="s">
        <v>134</v>
      </c>
      <c r="T20" s="1" t="s">
        <v>134</v>
      </c>
      <c r="U20" s="1" t="s">
        <v>135</v>
      </c>
      <c r="V20" s="1" t="s">
        <v>136</v>
      </c>
      <c r="W20" s="1" t="s">
        <v>137</v>
      </c>
      <c r="X20" s="3" t="s">
        <v>15</v>
      </c>
      <c r="Y20" s="1" t="s">
        <v>16</v>
      </c>
      <c r="Z20" s="1"/>
      <c r="AA20" s="1"/>
      <c r="AB20" s="1" t="s">
        <v>17</v>
      </c>
      <c r="AC20" s="1"/>
      <c r="AD20" s="1">
        <v>30</v>
      </c>
      <c r="AE20" s="1" t="s">
        <v>18</v>
      </c>
      <c r="AF20" s="1">
        <v>6</v>
      </c>
      <c r="AG20" s="1" t="s">
        <v>19</v>
      </c>
      <c r="AH20" s="1"/>
      <c r="AI20" s="1" t="s">
        <v>20</v>
      </c>
      <c r="AJ20" s="4">
        <v>92621</v>
      </c>
      <c r="AK20" s="5">
        <v>205736</v>
      </c>
      <c r="AL20" s="5">
        <v>205736</v>
      </c>
      <c r="AM20" s="1"/>
      <c r="AN20" s="6">
        <v>150</v>
      </c>
      <c r="AO20" s="6">
        <v>250</v>
      </c>
      <c r="AP20" s="6">
        <v>200</v>
      </c>
      <c r="AQ20" s="6">
        <v>200</v>
      </c>
      <c r="AR20" s="6">
        <v>200</v>
      </c>
    </row>
    <row r="21" spans="1:44" x14ac:dyDescent="0.2">
      <c r="A21" s="1" t="s">
        <v>174</v>
      </c>
      <c r="B21" s="1" t="s">
        <v>175</v>
      </c>
      <c r="C21" s="1" t="s">
        <v>2</v>
      </c>
      <c r="D21" s="1" t="s">
        <v>3</v>
      </c>
      <c r="E21" s="1" t="s">
        <v>4</v>
      </c>
      <c r="F21" s="1" t="s">
        <v>131</v>
      </c>
      <c r="G21" s="2">
        <v>200</v>
      </c>
      <c r="H21" s="1"/>
      <c r="I21" s="1" t="s">
        <v>132</v>
      </c>
      <c r="J21" s="1" t="s">
        <v>7</v>
      </c>
      <c r="K21" s="1" t="s">
        <v>32</v>
      </c>
      <c r="L21" s="1" t="s">
        <v>9</v>
      </c>
      <c r="M21" s="1" t="s">
        <v>10</v>
      </c>
      <c r="N21" s="1" t="s">
        <v>11</v>
      </c>
      <c r="O21" s="1"/>
      <c r="P21" s="1" t="s">
        <v>12</v>
      </c>
      <c r="Q21" s="1"/>
      <c r="R21" s="1" t="s">
        <v>133</v>
      </c>
      <c r="S21" s="1" t="s">
        <v>134</v>
      </c>
      <c r="T21" s="1" t="s">
        <v>134</v>
      </c>
      <c r="U21" s="1" t="s">
        <v>135</v>
      </c>
      <c r="V21" s="1" t="s">
        <v>136</v>
      </c>
      <c r="W21" s="1" t="s">
        <v>137</v>
      </c>
      <c r="X21" s="3" t="s">
        <v>15</v>
      </c>
      <c r="Y21" s="1" t="s">
        <v>16</v>
      </c>
      <c r="Z21" s="1"/>
      <c r="AA21" s="1"/>
      <c r="AB21" s="1" t="s">
        <v>17</v>
      </c>
      <c r="AC21" s="1"/>
      <c r="AD21" s="1">
        <v>30</v>
      </c>
      <c r="AE21" s="1" t="s">
        <v>18</v>
      </c>
      <c r="AF21" s="1">
        <v>6</v>
      </c>
      <c r="AG21" s="1" t="s">
        <v>19</v>
      </c>
      <c r="AH21" s="1"/>
      <c r="AI21" s="1" t="s">
        <v>20</v>
      </c>
      <c r="AJ21" s="4">
        <v>197265</v>
      </c>
      <c r="AK21" s="5">
        <v>438431</v>
      </c>
      <c r="AL21" s="5">
        <v>438431</v>
      </c>
      <c r="AM21" s="1"/>
      <c r="AN21" s="6">
        <v>200</v>
      </c>
      <c r="AO21" s="6">
        <v>650</v>
      </c>
      <c r="AP21" s="6">
        <v>520</v>
      </c>
      <c r="AQ21" s="6">
        <v>520</v>
      </c>
      <c r="AR21" s="6">
        <v>520</v>
      </c>
    </row>
    <row r="22" spans="1:44" x14ac:dyDescent="0.2">
      <c r="A22" s="1" t="s">
        <v>176</v>
      </c>
      <c r="B22" s="1" t="s">
        <v>177</v>
      </c>
      <c r="C22" s="1" t="s">
        <v>2</v>
      </c>
      <c r="D22" s="1" t="s">
        <v>3</v>
      </c>
      <c r="E22" s="1" t="s">
        <v>4</v>
      </c>
      <c r="F22" s="1" t="s">
        <v>131</v>
      </c>
      <c r="G22" s="2">
        <v>15</v>
      </c>
      <c r="H22" s="1"/>
      <c r="I22" s="1" t="s">
        <v>178</v>
      </c>
      <c r="J22" s="1" t="s">
        <v>7</v>
      </c>
      <c r="K22" s="1" t="s">
        <v>52</v>
      </c>
      <c r="L22" s="1" t="s">
        <v>9</v>
      </c>
      <c r="M22" s="1" t="s">
        <v>10</v>
      </c>
      <c r="N22" s="1" t="s">
        <v>11</v>
      </c>
      <c r="O22" s="1"/>
      <c r="P22" s="1" t="s">
        <v>12</v>
      </c>
      <c r="Q22" s="1"/>
      <c r="R22" s="1" t="s">
        <v>133</v>
      </c>
      <c r="S22" s="1" t="s">
        <v>134</v>
      </c>
      <c r="T22" s="1" t="s">
        <v>134</v>
      </c>
      <c r="U22" s="1" t="s">
        <v>135</v>
      </c>
      <c r="V22" s="1" t="s">
        <v>136</v>
      </c>
      <c r="W22" s="1" t="s">
        <v>137</v>
      </c>
      <c r="X22" s="3" t="s">
        <v>15</v>
      </c>
      <c r="Y22" s="1" t="s">
        <v>16</v>
      </c>
      <c r="Z22" s="1"/>
      <c r="AA22" s="1"/>
      <c r="AB22" s="1" t="s">
        <v>17</v>
      </c>
      <c r="AC22" s="1"/>
      <c r="AD22" s="1">
        <v>30</v>
      </c>
      <c r="AE22" s="1" t="s">
        <v>18</v>
      </c>
      <c r="AF22" s="1">
        <v>6</v>
      </c>
      <c r="AG22" s="1" t="s">
        <v>19</v>
      </c>
      <c r="AH22" s="1"/>
      <c r="AI22" s="1" t="s">
        <v>20</v>
      </c>
      <c r="AJ22" s="4">
        <v>1856</v>
      </c>
      <c r="AK22" s="5">
        <v>3884</v>
      </c>
      <c r="AL22" s="5">
        <v>3884</v>
      </c>
      <c r="AM22" s="1"/>
      <c r="AN22" s="6">
        <v>15</v>
      </c>
      <c r="AO22" s="6">
        <v>5</v>
      </c>
      <c r="AP22" s="6">
        <v>4</v>
      </c>
      <c r="AQ22" s="6">
        <v>4</v>
      </c>
      <c r="AR22" s="6">
        <v>4</v>
      </c>
    </row>
    <row r="23" spans="1:44" x14ac:dyDescent="0.2">
      <c r="A23" s="1" t="s">
        <v>179</v>
      </c>
      <c r="B23" s="1" t="s">
        <v>180</v>
      </c>
      <c r="C23" s="1" t="s">
        <v>2</v>
      </c>
      <c r="D23" s="1" t="s">
        <v>3</v>
      </c>
      <c r="E23" s="1" t="s">
        <v>4</v>
      </c>
      <c r="F23" s="1" t="s">
        <v>131</v>
      </c>
      <c r="G23" s="2">
        <v>20</v>
      </c>
      <c r="H23" s="1"/>
      <c r="I23" s="1" t="s">
        <v>181</v>
      </c>
      <c r="J23" s="1" t="s">
        <v>7</v>
      </c>
      <c r="K23" s="1" t="s">
        <v>52</v>
      </c>
      <c r="L23" s="1" t="s">
        <v>9</v>
      </c>
      <c r="M23" s="1" t="s">
        <v>10</v>
      </c>
      <c r="N23" s="1" t="s">
        <v>11</v>
      </c>
      <c r="O23" s="1"/>
      <c r="P23" s="1" t="s">
        <v>12</v>
      </c>
      <c r="Q23" s="1"/>
      <c r="R23" s="1" t="s">
        <v>133</v>
      </c>
      <c r="S23" s="1" t="s">
        <v>134</v>
      </c>
      <c r="T23" s="1" t="s">
        <v>134</v>
      </c>
      <c r="U23" s="1" t="s">
        <v>135</v>
      </c>
      <c r="V23" s="1" t="s">
        <v>136</v>
      </c>
      <c r="W23" s="1" t="s">
        <v>137</v>
      </c>
      <c r="X23" s="3" t="s">
        <v>15</v>
      </c>
      <c r="Y23" s="1" t="s">
        <v>16</v>
      </c>
      <c r="Z23" s="1"/>
      <c r="AA23" s="1"/>
      <c r="AB23" s="1" t="s">
        <v>17</v>
      </c>
      <c r="AC23" s="1"/>
      <c r="AD23" s="1">
        <v>30</v>
      </c>
      <c r="AE23" s="1" t="s">
        <v>18</v>
      </c>
      <c r="AF23" s="1">
        <v>6</v>
      </c>
      <c r="AG23" s="1" t="s">
        <v>19</v>
      </c>
      <c r="AH23" s="1"/>
      <c r="AI23" s="1" t="s">
        <v>20</v>
      </c>
      <c r="AJ23" s="4">
        <v>1935</v>
      </c>
      <c r="AK23" s="5">
        <v>4072</v>
      </c>
      <c r="AL23" s="5">
        <v>4072</v>
      </c>
      <c r="AM23" s="1"/>
      <c r="AN23" s="6">
        <v>20</v>
      </c>
      <c r="AO23" s="6">
        <v>5</v>
      </c>
      <c r="AP23" s="6">
        <v>4</v>
      </c>
      <c r="AQ23" s="6">
        <v>4</v>
      </c>
      <c r="AR23" s="6">
        <v>4</v>
      </c>
    </row>
    <row r="24" spans="1:44" x14ac:dyDescent="0.2">
      <c r="A24" s="1" t="s">
        <v>182</v>
      </c>
      <c r="B24" s="1" t="s">
        <v>183</v>
      </c>
      <c r="C24" s="1" t="s">
        <v>2</v>
      </c>
      <c r="D24" s="1" t="s">
        <v>3</v>
      </c>
      <c r="E24" s="1" t="s">
        <v>4</v>
      </c>
      <c r="F24" s="1" t="s">
        <v>131</v>
      </c>
      <c r="G24" s="2">
        <v>25</v>
      </c>
      <c r="H24" s="1"/>
      <c r="I24" s="1" t="s">
        <v>181</v>
      </c>
      <c r="J24" s="1" t="s">
        <v>7</v>
      </c>
      <c r="K24" s="1" t="s">
        <v>52</v>
      </c>
      <c r="L24" s="1" t="s">
        <v>9</v>
      </c>
      <c r="M24" s="1" t="s">
        <v>10</v>
      </c>
      <c r="N24" s="1" t="s">
        <v>11</v>
      </c>
      <c r="O24" s="1"/>
      <c r="P24" s="1" t="s">
        <v>12</v>
      </c>
      <c r="Q24" s="1"/>
      <c r="R24" s="1" t="s">
        <v>133</v>
      </c>
      <c r="S24" s="1" t="s">
        <v>134</v>
      </c>
      <c r="T24" s="1" t="s">
        <v>134</v>
      </c>
      <c r="U24" s="1" t="s">
        <v>135</v>
      </c>
      <c r="V24" s="1" t="s">
        <v>136</v>
      </c>
      <c r="W24" s="1" t="s">
        <v>137</v>
      </c>
      <c r="X24" s="3" t="s">
        <v>15</v>
      </c>
      <c r="Y24" s="1" t="s">
        <v>16</v>
      </c>
      <c r="Z24" s="1"/>
      <c r="AA24" s="1"/>
      <c r="AB24" s="1" t="s">
        <v>17</v>
      </c>
      <c r="AC24" s="1"/>
      <c r="AD24" s="1">
        <v>30</v>
      </c>
      <c r="AE24" s="1" t="s">
        <v>18</v>
      </c>
      <c r="AF24" s="1">
        <v>6</v>
      </c>
      <c r="AG24" s="1" t="s">
        <v>19</v>
      </c>
      <c r="AH24" s="1"/>
      <c r="AI24" s="1" t="s">
        <v>20</v>
      </c>
      <c r="AJ24" s="4">
        <v>2279</v>
      </c>
      <c r="AK24" s="5">
        <v>5180</v>
      </c>
      <c r="AL24" s="5">
        <v>5180</v>
      </c>
      <c r="AM24" s="1"/>
      <c r="AN24" s="6">
        <v>25</v>
      </c>
      <c r="AO24" s="6">
        <v>12</v>
      </c>
      <c r="AP24" s="6">
        <v>9.6000000000000014</v>
      </c>
      <c r="AQ24" s="6">
        <v>9.6000000000000014</v>
      </c>
      <c r="AR24" s="6">
        <v>9.6000000000000014</v>
      </c>
    </row>
    <row r="25" spans="1:44" x14ac:dyDescent="0.2">
      <c r="A25" s="1" t="s">
        <v>184</v>
      </c>
      <c r="B25" s="1" t="s">
        <v>185</v>
      </c>
      <c r="C25" s="1" t="s">
        <v>2</v>
      </c>
      <c r="D25" s="1" t="s">
        <v>3</v>
      </c>
      <c r="E25" s="1" t="s">
        <v>4</v>
      </c>
      <c r="F25" s="1" t="s">
        <v>131</v>
      </c>
      <c r="G25" s="2">
        <v>40</v>
      </c>
      <c r="H25" s="1"/>
      <c r="I25" s="1" t="s">
        <v>181</v>
      </c>
      <c r="J25" s="1" t="s">
        <v>7</v>
      </c>
      <c r="K25" s="1" t="s">
        <v>52</v>
      </c>
      <c r="L25" s="1" t="s">
        <v>9</v>
      </c>
      <c r="M25" s="1" t="s">
        <v>10</v>
      </c>
      <c r="N25" s="1" t="s">
        <v>11</v>
      </c>
      <c r="O25" s="1"/>
      <c r="P25" s="1" t="s">
        <v>12</v>
      </c>
      <c r="Q25" s="1"/>
      <c r="R25" s="1" t="s">
        <v>133</v>
      </c>
      <c r="S25" s="1" t="s">
        <v>134</v>
      </c>
      <c r="T25" s="1" t="s">
        <v>134</v>
      </c>
      <c r="U25" s="1" t="s">
        <v>135</v>
      </c>
      <c r="V25" s="1" t="s">
        <v>136</v>
      </c>
      <c r="W25" s="1" t="s">
        <v>137</v>
      </c>
      <c r="X25" s="3" t="s">
        <v>15</v>
      </c>
      <c r="Y25" s="1" t="s">
        <v>16</v>
      </c>
      <c r="Z25" s="1"/>
      <c r="AA25" s="1"/>
      <c r="AB25" s="1" t="s">
        <v>17</v>
      </c>
      <c r="AC25" s="1"/>
      <c r="AD25" s="1">
        <v>30</v>
      </c>
      <c r="AE25" s="1" t="s">
        <v>18</v>
      </c>
      <c r="AF25" s="1">
        <v>6</v>
      </c>
      <c r="AG25" s="1" t="s">
        <v>19</v>
      </c>
      <c r="AH25" s="1"/>
      <c r="AI25" s="1" t="s">
        <v>20</v>
      </c>
      <c r="AJ25" s="4">
        <v>3465</v>
      </c>
      <c r="AK25" s="5">
        <v>7929</v>
      </c>
      <c r="AL25" s="5">
        <v>7929</v>
      </c>
      <c r="AM25" s="1"/>
      <c r="AN25" s="6">
        <v>40</v>
      </c>
      <c r="AO25" s="6">
        <v>18</v>
      </c>
      <c r="AP25" s="6">
        <v>14.4</v>
      </c>
      <c r="AQ25" s="6">
        <v>14.4</v>
      </c>
      <c r="AR25" s="6">
        <v>14.4</v>
      </c>
    </row>
    <row r="26" spans="1:44" x14ac:dyDescent="0.2">
      <c r="A26" s="1" t="s">
        <v>186</v>
      </c>
      <c r="B26" s="1" t="s">
        <v>187</v>
      </c>
      <c r="C26" s="1" t="s">
        <v>2</v>
      </c>
      <c r="D26" s="1" t="s">
        <v>3</v>
      </c>
      <c r="E26" s="1" t="s">
        <v>4</v>
      </c>
      <c r="F26" s="1" t="s">
        <v>131</v>
      </c>
      <c r="G26" s="2">
        <v>50</v>
      </c>
      <c r="H26" s="1"/>
      <c r="I26" s="1" t="s">
        <v>181</v>
      </c>
      <c r="J26" s="1" t="s">
        <v>7</v>
      </c>
      <c r="K26" s="1" t="s">
        <v>52</v>
      </c>
      <c r="L26" s="1" t="s">
        <v>9</v>
      </c>
      <c r="M26" s="1" t="s">
        <v>10</v>
      </c>
      <c r="N26" s="1" t="s">
        <v>11</v>
      </c>
      <c r="O26" s="1"/>
      <c r="P26" s="1" t="s">
        <v>12</v>
      </c>
      <c r="Q26" s="1"/>
      <c r="R26" s="1" t="s">
        <v>133</v>
      </c>
      <c r="S26" s="1" t="s">
        <v>134</v>
      </c>
      <c r="T26" s="1" t="s">
        <v>134</v>
      </c>
      <c r="U26" s="1" t="s">
        <v>135</v>
      </c>
      <c r="V26" s="1" t="s">
        <v>136</v>
      </c>
      <c r="W26" s="1" t="s">
        <v>137</v>
      </c>
      <c r="X26" s="3" t="s">
        <v>15</v>
      </c>
      <c r="Y26" s="1" t="s">
        <v>16</v>
      </c>
      <c r="Z26" s="1"/>
      <c r="AA26" s="1"/>
      <c r="AB26" s="1" t="s">
        <v>17</v>
      </c>
      <c r="AC26" s="1"/>
      <c r="AD26" s="1">
        <v>30</v>
      </c>
      <c r="AE26" s="1" t="s">
        <v>18</v>
      </c>
      <c r="AF26" s="1">
        <v>6</v>
      </c>
      <c r="AG26" s="1" t="s">
        <v>19</v>
      </c>
      <c r="AH26" s="1"/>
      <c r="AI26" s="1" t="s">
        <v>20</v>
      </c>
      <c r="AJ26" s="4">
        <v>5452</v>
      </c>
      <c r="AK26" s="5">
        <v>11771</v>
      </c>
      <c r="AL26" s="5">
        <v>11771</v>
      </c>
      <c r="AM26" s="1"/>
      <c r="AN26" s="6">
        <v>50</v>
      </c>
      <c r="AO26" s="6">
        <v>38</v>
      </c>
      <c r="AP26" s="6">
        <v>30.400000000000002</v>
      </c>
      <c r="AQ26" s="6">
        <v>30.400000000000002</v>
      </c>
      <c r="AR26" s="6">
        <v>30.400000000000002</v>
      </c>
    </row>
    <row r="27" spans="1:44" x14ac:dyDescent="0.2">
      <c r="A27" s="1" t="s">
        <v>188</v>
      </c>
      <c r="B27" s="1" t="s">
        <v>189</v>
      </c>
      <c r="C27" s="1" t="s">
        <v>2</v>
      </c>
      <c r="D27" s="1" t="s">
        <v>3</v>
      </c>
      <c r="E27" s="1" t="s">
        <v>4</v>
      </c>
      <c r="F27" s="1" t="s">
        <v>131</v>
      </c>
      <c r="G27" s="2">
        <v>65</v>
      </c>
      <c r="H27" s="1"/>
      <c r="I27" s="1" t="s">
        <v>181</v>
      </c>
      <c r="J27" s="1" t="s">
        <v>7</v>
      </c>
      <c r="K27" s="1" t="s">
        <v>52</v>
      </c>
      <c r="L27" s="1" t="s">
        <v>9</v>
      </c>
      <c r="M27" s="1" t="s">
        <v>10</v>
      </c>
      <c r="N27" s="1" t="s">
        <v>11</v>
      </c>
      <c r="O27" s="1"/>
      <c r="P27" s="1" t="s">
        <v>12</v>
      </c>
      <c r="Q27" s="1"/>
      <c r="R27" s="1" t="s">
        <v>133</v>
      </c>
      <c r="S27" s="1" t="s">
        <v>134</v>
      </c>
      <c r="T27" s="1" t="s">
        <v>134</v>
      </c>
      <c r="U27" s="1" t="s">
        <v>135</v>
      </c>
      <c r="V27" s="1" t="s">
        <v>136</v>
      </c>
      <c r="W27" s="1" t="s">
        <v>137</v>
      </c>
      <c r="X27" s="3" t="s">
        <v>15</v>
      </c>
      <c r="Y27" s="1" t="s">
        <v>16</v>
      </c>
      <c r="Z27" s="1"/>
      <c r="AA27" s="1"/>
      <c r="AB27" s="1" t="s">
        <v>17</v>
      </c>
      <c r="AC27" s="1"/>
      <c r="AD27" s="1">
        <v>30</v>
      </c>
      <c r="AE27" s="1" t="s">
        <v>18</v>
      </c>
      <c r="AF27" s="1">
        <v>6</v>
      </c>
      <c r="AG27" s="1" t="s">
        <v>19</v>
      </c>
      <c r="AH27" s="1"/>
      <c r="AI27" s="1" t="s">
        <v>20</v>
      </c>
      <c r="AJ27" s="4">
        <v>10105</v>
      </c>
      <c r="AK27" s="5">
        <v>21336</v>
      </c>
      <c r="AL27" s="5">
        <v>21336</v>
      </c>
      <c r="AM27" s="1"/>
      <c r="AN27" s="6">
        <v>65</v>
      </c>
      <c r="AO27" s="6">
        <v>48</v>
      </c>
      <c r="AP27" s="6">
        <v>38.400000000000006</v>
      </c>
      <c r="AQ27" s="6">
        <v>38.400000000000006</v>
      </c>
      <c r="AR27" s="6">
        <v>38.400000000000006</v>
      </c>
    </row>
    <row r="28" spans="1:44" x14ac:dyDescent="0.2">
      <c r="A28" s="1" t="s">
        <v>190</v>
      </c>
      <c r="B28" s="1" t="s">
        <v>191</v>
      </c>
      <c r="C28" s="1" t="s">
        <v>2</v>
      </c>
      <c r="D28" s="1" t="s">
        <v>3</v>
      </c>
      <c r="E28" s="1" t="s">
        <v>4</v>
      </c>
      <c r="F28" s="1" t="s">
        <v>131</v>
      </c>
      <c r="G28" s="2">
        <v>80</v>
      </c>
      <c r="H28" s="1"/>
      <c r="I28" s="1" t="s">
        <v>181</v>
      </c>
      <c r="J28" s="1" t="s">
        <v>7</v>
      </c>
      <c r="K28" s="1" t="s">
        <v>52</v>
      </c>
      <c r="L28" s="1" t="s">
        <v>9</v>
      </c>
      <c r="M28" s="1" t="s">
        <v>10</v>
      </c>
      <c r="N28" s="1" t="s">
        <v>11</v>
      </c>
      <c r="O28" s="1"/>
      <c r="P28" s="1" t="s">
        <v>12</v>
      </c>
      <c r="Q28" s="1"/>
      <c r="R28" s="1" t="s">
        <v>133</v>
      </c>
      <c r="S28" s="1" t="s">
        <v>134</v>
      </c>
      <c r="T28" s="1" t="s">
        <v>134</v>
      </c>
      <c r="U28" s="1" t="s">
        <v>135</v>
      </c>
      <c r="V28" s="1" t="s">
        <v>136</v>
      </c>
      <c r="W28" s="1" t="s">
        <v>137</v>
      </c>
      <c r="X28" s="3" t="s">
        <v>15</v>
      </c>
      <c r="Y28" s="1" t="s">
        <v>16</v>
      </c>
      <c r="Z28" s="1"/>
      <c r="AA28" s="1"/>
      <c r="AB28" s="1" t="s">
        <v>17</v>
      </c>
      <c r="AC28" s="1"/>
      <c r="AD28" s="1">
        <v>30</v>
      </c>
      <c r="AE28" s="1" t="s">
        <v>18</v>
      </c>
      <c r="AF28" s="1">
        <v>6</v>
      </c>
      <c r="AG28" s="1" t="s">
        <v>19</v>
      </c>
      <c r="AH28" s="1"/>
      <c r="AI28" s="1" t="s">
        <v>20</v>
      </c>
      <c r="AJ28" s="4">
        <v>13111</v>
      </c>
      <c r="AK28" s="5">
        <v>27139</v>
      </c>
      <c r="AL28" s="5">
        <v>27139</v>
      </c>
      <c r="AM28" s="1"/>
      <c r="AN28" s="6">
        <v>80</v>
      </c>
      <c r="AO28" s="6">
        <v>90</v>
      </c>
      <c r="AP28" s="6">
        <v>72</v>
      </c>
      <c r="AQ28" s="6">
        <v>72</v>
      </c>
      <c r="AR28" s="6">
        <v>72</v>
      </c>
    </row>
    <row r="29" spans="1:44" x14ac:dyDescent="0.2">
      <c r="A29" s="1" t="s">
        <v>192</v>
      </c>
      <c r="B29" s="1" t="s">
        <v>193</v>
      </c>
      <c r="C29" s="1" t="s">
        <v>2</v>
      </c>
      <c r="D29" s="1" t="s">
        <v>3</v>
      </c>
      <c r="E29" s="1" t="s">
        <v>4</v>
      </c>
      <c r="F29" s="1" t="s">
        <v>131</v>
      </c>
      <c r="G29" s="2">
        <v>100</v>
      </c>
      <c r="H29" s="1"/>
      <c r="I29" s="1" t="s">
        <v>181</v>
      </c>
      <c r="J29" s="1" t="s">
        <v>7</v>
      </c>
      <c r="K29" s="1" t="s">
        <v>52</v>
      </c>
      <c r="L29" s="1" t="s">
        <v>9</v>
      </c>
      <c r="M29" s="1" t="s">
        <v>10</v>
      </c>
      <c r="N29" s="1" t="s">
        <v>11</v>
      </c>
      <c r="O29" s="1"/>
      <c r="P29" s="1" t="s">
        <v>12</v>
      </c>
      <c r="Q29" s="1"/>
      <c r="R29" s="1" t="s">
        <v>133</v>
      </c>
      <c r="S29" s="1" t="s">
        <v>134</v>
      </c>
      <c r="T29" s="1" t="s">
        <v>134</v>
      </c>
      <c r="U29" s="1" t="s">
        <v>135</v>
      </c>
      <c r="V29" s="1" t="s">
        <v>136</v>
      </c>
      <c r="W29" s="1" t="s">
        <v>137</v>
      </c>
      <c r="X29" s="3" t="s">
        <v>15</v>
      </c>
      <c r="Y29" s="1" t="s">
        <v>16</v>
      </c>
      <c r="Z29" s="1"/>
      <c r="AA29" s="1"/>
      <c r="AB29" s="1" t="s">
        <v>17</v>
      </c>
      <c r="AC29" s="1"/>
      <c r="AD29" s="1">
        <v>30</v>
      </c>
      <c r="AE29" s="1" t="s">
        <v>18</v>
      </c>
      <c r="AF29" s="1">
        <v>6</v>
      </c>
      <c r="AG29" s="1" t="s">
        <v>19</v>
      </c>
      <c r="AH29" s="1"/>
      <c r="AI29" s="1" t="s">
        <v>20</v>
      </c>
      <c r="AJ29" s="4">
        <v>20448</v>
      </c>
      <c r="AK29" s="5">
        <v>42344</v>
      </c>
      <c r="AL29" s="5">
        <v>42344</v>
      </c>
      <c r="AM29" s="1"/>
      <c r="AN29" s="6">
        <v>100</v>
      </c>
      <c r="AO29" s="6">
        <v>145</v>
      </c>
      <c r="AP29" s="6">
        <v>116</v>
      </c>
      <c r="AQ29" s="6">
        <v>116</v>
      </c>
      <c r="AR29" s="6">
        <v>116</v>
      </c>
    </row>
    <row r="30" spans="1:44" x14ac:dyDescent="0.2">
      <c r="A30" s="1" t="s">
        <v>194</v>
      </c>
      <c r="B30" s="1" t="s">
        <v>195</v>
      </c>
      <c r="C30" s="1" t="s">
        <v>2</v>
      </c>
      <c r="D30" s="1" t="s">
        <v>3</v>
      </c>
      <c r="E30" s="1" t="s">
        <v>4</v>
      </c>
      <c r="F30" s="1" t="s">
        <v>131</v>
      </c>
      <c r="G30" s="2">
        <v>150</v>
      </c>
      <c r="H30" s="1"/>
      <c r="I30" s="1" t="s">
        <v>181</v>
      </c>
      <c r="J30" s="1" t="s">
        <v>7</v>
      </c>
      <c r="K30" s="1" t="s">
        <v>52</v>
      </c>
      <c r="L30" s="1" t="s">
        <v>9</v>
      </c>
      <c r="M30" s="1" t="s">
        <v>10</v>
      </c>
      <c r="N30" s="1" t="s">
        <v>11</v>
      </c>
      <c r="O30" s="1"/>
      <c r="P30" s="1" t="s">
        <v>12</v>
      </c>
      <c r="Q30" s="1"/>
      <c r="R30" s="1" t="s">
        <v>133</v>
      </c>
      <c r="S30" s="1" t="s">
        <v>134</v>
      </c>
      <c r="T30" s="1" t="s">
        <v>134</v>
      </c>
      <c r="U30" s="1" t="s">
        <v>135</v>
      </c>
      <c r="V30" s="1" t="s">
        <v>136</v>
      </c>
      <c r="W30" s="1" t="s">
        <v>137</v>
      </c>
      <c r="X30" s="3" t="s">
        <v>15</v>
      </c>
      <c r="Y30" s="1" t="s">
        <v>16</v>
      </c>
      <c r="Z30" s="1"/>
      <c r="AA30" s="1"/>
      <c r="AB30" s="1" t="s">
        <v>17</v>
      </c>
      <c r="AC30" s="1"/>
      <c r="AD30" s="1">
        <v>30</v>
      </c>
      <c r="AE30" s="1" t="s">
        <v>18</v>
      </c>
      <c r="AF30" s="1">
        <v>6</v>
      </c>
      <c r="AG30" s="1" t="s">
        <v>19</v>
      </c>
      <c r="AH30" s="1"/>
      <c r="AI30" s="1" t="s">
        <v>20</v>
      </c>
      <c r="AJ30" s="4">
        <v>30318</v>
      </c>
      <c r="AK30" s="5">
        <v>62641</v>
      </c>
      <c r="AL30" s="5">
        <v>62641</v>
      </c>
      <c r="AM30" s="1"/>
      <c r="AN30" s="6">
        <v>150</v>
      </c>
      <c r="AO30" s="6">
        <v>190</v>
      </c>
      <c r="AP30" s="6">
        <v>152</v>
      </c>
      <c r="AQ30" s="6">
        <v>152</v>
      </c>
      <c r="AR30" s="6">
        <v>152</v>
      </c>
    </row>
    <row r="31" spans="1:44" x14ac:dyDescent="0.2">
      <c r="A31" s="1" t="s">
        <v>196</v>
      </c>
      <c r="B31" s="1" t="s">
        <v>197</v>
      </c>
      <c r="C31" s="1" t="s">
        <v>2</v>
      </c>
      <c r="D31" s="1" t="s">
        <v>3</v>
      </c>
      <c r="E31" s="1" t="s">
        <v>4</v>
      </c>
      <c r="F31" s="1" t="s">
        <v>131</v>
      </c>
      <c r="G31" s="2">
        <v>15</v>
      </c>
      <c r="H31" s="1"/>
      <c r="I31" s="1" t="s">
        <v>178</v>
      </c>
      <c r="J31" s="1" t="s">
        <v>7</v>
      </c>
      <c r="K31" s="1" t="s">
        <v>32</v>
      </c>
      <c r="L31" s="1" t="s">
        <v>9</v>
      </c>
      <c r="M31" s="1" t="s">
        <v>10</v>
      </c>
      <c r="N31" s="1" t="s">
        <v>11</v>
      </c>
      <c r="O31" s="1"/>
      <c r="P31" s="1" t="s">
        <v>12</v>
      </c>
      <c r="Q31" s="1"/>
      <c r="R31" s="1" t="s">
        <v>133</v>
      </c>
      <c r="S31" s="1" t="s">
        <v>134</v>
      </c>
      <c r="T31" s="1" t="s">
        <v>134</v>
      </c>
      <c r="U31" s="1" t="s">
        <v>135</v>
      </c>
      <c r="V31" s="1" t="s">
        <v>136</v>
      </c>
      <c r="W31" s="1" t="s">
        <v>137</v>
      </c>
      <c r="X31" s="3" t="s">
        <v>15</v>
      </c>
      <c r="Y31" s="1" t="s">
        <v>16</v>
      </c>
      <c r="Z31" s="1"/>
      <c r="AA31" s="1"/>
      <c r="AB31" s="1" t="s">
        <v>17</v>
      </c>
      <c r="AC31" s="1"/>
      <c r="AD31" s="1">
        <v>30</v>
      </c>
      <c r="AE31" s="1" t="s">
        <v>18</v>
      </c>
      <c r="AF31" s="1">
        <v>6</v>
      </c>
      <c r="AG31" s="1" t="s">
        <v>19</v>
      </c>
      <c r="AH31" s="1"/>
      <c r="AI31" s="1" t="s">
        <v>20</v>
      </c>
      <c r="AJ31" s="4">
        <v>2813</v>
      </c>
      <c r="AK31" s="5">
        <v>5851</v>
      </c>
      <c r="AL31" s="5">
        <v>5851</v>
      </c>
      <c r="AM31" s="1"/>
      <c r="AN31" s="6">
        <v>15</v>
      </c>
      <c r="AO31" s="6">
        <v>5</v>
      </c>
      <c r="AP31" s="6">
        <v>4</v>
      </c>
      <c r="AQ31" s="6">
        <v>4</v>
      </c>
      <c r="AR31" s="6">
        <v>4</v>
      </c>
    </row>
    <row r="32" spans="1:44" x14ac:dyDescent="0.2">
      <c r="A32" s="1" t="s">
        <v>198</v>
      </c>
      <c r="B32" s="1" t="s">
        <v>199</v>
      </c>
      <c r="C32" s="1" t="s">
        <v>2</v>
      </c>
      <c r="D32" s="1" t="s">
        <v>3</v>
      </c>
      <c r="E32" s="1" t="s">
        <v>4</v>
      </c>
      <c r="F32" s="1" t="s">
        <v>131</v>
      </c>
      <c r="G32" s="2">
        <v>20</v>
      </c>
      <c r="H32" s="1"/>
      <c r="I32" s="1" t="s">
        <v>181</v>
      </c>
      <c r="J32" s="1" t="s">
        <v>7</v>
      </c>
      <c r="K32" s="1" t="s">
        <v>32</v>
      </c>
      <c r="L32" s="1" t="s">
        <v>9</v>
      </c>
      <c r="M32" s="1" t="s">
        <v>10</v>
      </c>
      <c r="N32" s="1" t="s">
        <v>11</v>
      </c>
      <c r="O32" s="1"/>
      <c r="P32" s="1" t="s">
        <v>12</v>
      </c>
      <c r="Q32" s="1"/>
      <c r="R32" s="1" t="s">
        <v>133</v>
      </c>
      <c r="S32" s="1" t="s">
        <v>134</v>
      </c>
      <c r="T32" s="1" t="s">
        <v>134</v>
      </c>
      <c r="U32" s="1" t="s">
        <v>135</v>
      </c>
      <c r="V32" s="1" t="s">
        <v>136</v>
      </c>
      <c r="W32" s="1" t="s">
        <v>137</v>
      </c>
      <c r="X32" s="3" t="s">
        <v>15</v>
      </c>
      <c r="Y32" s="1" t="s">
        <v>16</v>
      </c>
      <c r="Z32" s="1"/>
      <c r="AA32" s="1"/>
      <c r="AB32" s="1" t="s">
        <v>17</v>
      </c>
      <c r="AC32" s="1"/>
      <c r="AD32" s="1">
        <v>30</v>
      </c>
      <c r="AE32" s="1" t="s">
        <v>18</v>
      </c>
      <c r="AF32" s="1">
        <v>6</v>
      </c>
      <c r="AG32" s="1" t="s">
        <v>19</v>
      </c>
      <c r="AH32" s="1"/>
      <c r="AI32" s="1" t="s">
        <v>20</v>
      </c>
      <c r="AJ32" s="4">
        <v>2957</v>
      </c>
      <c r="AK32" s="5">
        <v>6425</v>
      </c>
      <c r="AL32" s="5">
        <v>6425</v>
      </c>
      <c r="AM32" s="1"/>
      <c r="AN32" s="6">
        <v>20</v>
      </c>
      <c r="AO32" s="6">
        <v>5</v>
      </c>
      <c r="AP32" s="6">
        <v>4</v>
      </c>
      <c r="AQ32" s="6">
        <v>4</v>
      </c>
      <c r="AR32" s="6">
        <v>4</v>
      </c>
    </row>
    <row r="33" spans="1:44" x14ac:dyDescent="0.2">
      <c r="A33" s="1" t="s">
        <v>200</v>
      </c>
      <c r="B33" s="1" t="s">
        <v>201</v>
      </c>
      <c r="C33" s="1" t="s">
        <v>2</v>
      </c>
      <c r="D33" s="1" t="s">
        <v>3</v>
      </c>
      <c r="E33" s="1" t="s">
        <v>4</v>
      </c>
      <c r="F33" s="1" t="s">
        <v>131</v>
      </c>
      <c r="G33" s="2">
        <v>25</v>
      </c>
      <c r="H33" s="1"/>
      <c r="I33" s="1" t="s">
        <v>181</v>
      </c>
      <c r="J33" s="1" t="s">
        <v>7</v>
      </c>
      <c r="K33" s="1" t="s">
        <v>32</v>
      </c>
      <c r="L33" s="1" t="s">
        <v>9</v>
      </c>
      <c r="M33" s="1" t="s">
        <v>10</v>
      </c>
      <c r="N33" s="1" t="s">
        <v>11</v>
      </c>
      <c r="O33" s="1"/>
      <c r="P33" s="1" t="s">
        <v>12</v>
      </c>
      <c r="Q33" s="1"/>
      <c r="R33" s="1" t="s">
        <v>133</v>
      </c>
      <c r="S33" s="1" t="s">
        <v>134</v>
      </c>
      <c r="T33" s="1" t="s">
        <v>134</v>
      </c>
      <c r="U33" s="1" t="s">
        <v>135</v>
      </c>
      <c r="V33" s="1" t="s">
        <v>136</v>
      </c>
      <c r="W33" s="1" t="s">
        <v>137</v>
      </c>
      <c r="X33" s="3" t="s">
        <v>15</v>
      </c>
      <c r="Y33" s="1" t="s">
        <v>16</v>
      </c>
      <c r="Z33" s="1"/>
      <c r="AA33" s="1"/>
      <c r="AB33" s="1" t="s">
        <v>17</v>
      </c>
      <c r="AC33" s="1"/>
      <c r="AD33" s="1">
        <v>30</v>
      </c>
      <c r="AE33" s="1" t="s">
        <v>18</v>
      </c>
      <c r="AF33" s="1">
        <v>6</v>
      </c>
      <c r="AG33" s="1" t="s">
        <v>19</v>
      </c>
      <c r="AH33" s="1"/>
      <c r="AI33" s="1" t="s">
        <v>20</v>
      </c>
      <c r="AJ33" s="4">
        <v>3877</v>
      </c>
      <c r="AK33" s="5">
        <v>10042</v>
      </c>
      <c r="AL33" s="5">
        <v>10042</v>
      </c>
      <c r="AM33" s="1"/>
      <c r="AN33" s="6">
        <v>25</v>
      </c>
      <c r="AO33" s="6">
        <v>12</v>
      </c>
      <c r="AP33" s="6">
        <v>9.6000000000000014</v>
      </c>
      <c r="AQ33" s="6">
        <v>9.6000000000000014</v>
      </c>
      <c r="AR33" s="6">
        <v>9.6000000000000014</v>
      </c>
    </row>
    <row r="34" spans="1:44" x14ac:dyDescent="0.2">
      <c r="A34" s="1" t="s">
        <v>202</v>
      </c>
      <c r="B34" s="1" t="s">
        <v>203</v>
      </c>
      <c r="C34" s="1" t="s">
        <v>2</v>
      </c>
      <c r="D34" s="1" t="s">
        <v>3</v>
      </c>
      <c r="E34" s="1" t="s">
        <v>4</v>
      </c>
      <c r="F34" s="1" t="s">
        <v>131</v>
      </c>
      <c r="G34" s="2">
        <v>40</v>
      </c>
      <c r="H34" s="1"/>
      <c r="I34" s="1" t="s">
        <v>181</v>
      </c>
      <c r="J34" s="1" t="s">
        <v>7</v>
      </c>
      <c r="K34" s="1" t="s">
        <v>32</v>
      </c>
      <c r="L34" s="1" t="s">
        <v>9</v>
      </c>
      <c r="M34" s="1" t="s">
        <v>10</v>
      </c>
      <c r="N34" s="1" t="s">
        <v>11</v>
      </c>
      <c r="O34" s="1"/>
      <c r="P34" s="1" t="s">
        <v>12</v>
      </c>
      <c r="Q34" s="1"/>
      <c r="R34" s="1" t="s">
        <v>133</v>
      </c>
      <c r="S34" s="1" t="s">
        <v>134</v>
      </c>
      <c r="T34" s="1" t="s">
        <v>134</v>
      </c>
      <c r="U34" s="1" t="s">
        <v>135</v>
      </c>
      <c r="V34" s="1" t="s">
        <v>136</v>
      </c>
      <c r="W34" s="1" t="s">
        <v>137</v>
      </c>
      <c r="X34" s="3" t="s">
        <v>15</v>
      </c>
      <c r="Y34" s="1" t="s">
        <v>16</v>
      </c>
      <c r="Z34" s="1"/>
      <c r="AA34" s="1"/>
      <c r="AB34" s="1" t="s">
        <v>17</v>
      </c>
      <c r="AC34" s="1"/>
      <c r="AD34" s="1">
        <v>30</v>
      </c>
      <c r="AE34" s="1" t="s">
        <v>18</v>
      </c>
      <c r="AF34" s="1">
        <v>6</v>
      </c>
      <c r="AG34" s="1" t="s">
        <v>19</v>
      </c>
      <c r="AH34" s="1"/>
      <c r="AI34" s="1" t="s">
        <v>20</v>
      </c>
      <c r="AJ34" s="4">
        <v>5824</v>
      </c>
      <c r="AK34" s="5">
        <v>16440</v>
      </c>
      <c r="AL34" s="5">
        <v>16440</v>
      </c>
      <c r="AM34" s="1"/>
      <c r="AN34" s="6">
        <v>40</v>
      </c>
      <c r="AO34" s="6">
        <v>18</v>
      </c>
      <c r="AP34" s="6">
        <v>14.4</v>
      </c>
      <c r="AQ34" s="6">
        <v>14.4</v>
      </c>
      <c r="AR34" s="6">
        <v>14.4</v>
      </c>
    </row>
    <row r="35" spans="1:44" x14ac:dyDescent="0.2">
      <c r="A35" s="1" t="s">
        <v>204</v>
      </c>
      <c r="B35" s="1" t="s">
        <v>205</v>
      </c>
      <c r="C35" s="1" t="s">
        <v>2</v>
      </c>
      <c r="D35" s="1" t="s">
        <v>3</v>
      </c>
      <c r="E35" s="1" t="s">
        <v>4</v>
      </c>
      <c r="F35" s="1" t="s">
        <v>131</v>
      </c>
      <c r="G35" s="2">
        <v>50</v>
      </c>
      <c r="H35" s="1"/>
      <c r="I35" s="1" t="s">
        <v>181</v>
      </c>
      <c r="J35" s="1" t="s">
        <v>7</v>
      </c>
      <c r="K35" s="1" t="s">
        <v>32</v>
      </c>
      <c r="L35" s="1" t="s">
        <v>9</v>
      </c>
      <c r="M35" s="1" t="s">
        <v>10</v>
      </c>
      <c r="N35" s="1" t="s">
        <v>11</v>
      </c>
      <c r="O35" s="1"/>
      <c r="P35" s="1" t="s">
        <v>12</v>
      </c>
      <c r="Q35" s="1"/>
      <c r="R35" s="1" t="s">
        <v>133</v>
      </c>
      <c r="S35" s="1" t="s">
        <v>134</v>
      </c>
      <c r="T35" s="1" t="s">
        <v>134</v>
      </c>
      <c r="U35" s="1" t="s">
        <v>135</v>
      </c>
      <c r="V35" s="1" t="s">
        <v>136</v>
      </c>
      <c r="W35" s="1" t="s">
        <v>137</v>
      </c>
      <c r="X35" s="3" t="s">
        <v>15</v>
      </c>
      <c r="Y35" s="1" t="s">
        <v>16</v>
      </c>
      <c r="Z35" s="1"/>
      <c r="AA35" s="1"/>
      <c r="AB35" s="1" t="s">
        <v>17</v>
      </c>
      <c r="AC35" s="1"/>
      <c r="AD35" s="1">
        <v>30</v>
      </c>
      <c r="AE35" s="1" t="s">
        <v>18</v>
      </c>
      <c r="AF35" s="1">
        <v>6</v>
      </c>
      <c r="AG35" s="1" t="s">
        <v>19</v>
      </c>
      <c r="AH35" s="1"/>
      <c r="AI35" s="1" t="s">
        <v>20</v>
      </c>
      <c r="AJ35" s="4">
        <v>8843</v>
      </c>
      <c r="AK35" s="5">
        <v>22708</v>
      </c>
      <c r="AL35" s="5">
        <v>22708</v>
      </c>
      <c r="AM35" s="1"/>
      <c r="AN35" s="6">
        <v>50</v>
      </c>
      <c r="AO35" s="6">
        <v>38</v>
      </c>
      <c r="AP35" s="6">
        <v>30.400000000000002</v>
      </c>
      <c r="AQ35" s="6">
        <v>30.400000000000002</v>
      </c>
      <c r="AR35" s="6">
        <v>30.400000000000002</v>
      </c>
    </row>
    <row r="36" spans="1:44" x14ac:dyDescent="0.2">
      <c r="A36" s="1" t="s">
        <v>206</v>
      </c>
      <c r="B36" s="1" t="s">
        <v>207</v>
      </c>
      <c r="C36" s="1" t="s">
        <v>2</v>
      </c>
      <c r="D36" s="1" t="s">
        <v>3</v>
      </c>
      <c r="E36" s="1" t="s">
        <v>4</v>
      </c>
      <c r="F36" s="1" t="s">
        <v>131</v>
      </c>
      <c r="G36" s="2">
        <v>65</v>
      </c>
      <c r="H36" s="1"/>
      <c r="I36" s="1" t="s">
        <v>181</v>
      </c>
      <c r="J36" s="1" t="s">
        <v>7</v>
      </c>
      <c r="K36" s="1" t="s">
        <v>32</v>
      </c>
      <c r="L36" s="1" t="s">
        <v>9</v>
      </c>
      <c r="M36" s="1" t="s">
        <v>10</v>
      </c>
      <c r="N36" s="1" t="s">
        <v>11</v>
      </c>
      <c r="O36" s="1"/>
      <c r="P36" s="1" t="s">
        <v>12</v>
      </c>
      <c r="Q36" s="1"/>
      <c r="R36" s="1" t="s">
        <v>133</v>
      </c>
      <c r="S36" s="1" t="s">
        <v>134</v>
      </c>
      <c r="T36" s="1" t="s">
        <v>134</v>
      </c>
      <c r="U36" s="1" t="s">
        <v>135</v>
      </c>
      <c r="V36" s="1" t="s">
        <v>136</v>
      </c>
      <c r="W36" s="1" t="s">
        <v>137</v>
      </c>
      <c r="X36" s="3" t="s">
        <v>15</v>
      </c>
      <c r="Y36" s="1" t="s">
        <v>16</v>
      </c>
      <c r="Z36" s="1"/>
      <c r="AA36" s="1"/>
      <c r="AB36" s="1" t="s">
        <v>17</v>
      </c>
      <c r="AC36" s="1"/>
      <c r="AD36" s="1">
        <v>30</v>
      </c>
      <c r="AE36" s="1" t="s">
        <v>18</v>
      </c>
      <c r="AF36" s="1">
        <v>6</v>
      </c>
      <c r="AG36" s="1" t="s">
        <v>19</v>
      </c>
      <c r="AH36" s="1"/>
      <c r="AI36" s="1" t="s">
        <v>20</v>
      </c>
      <c r="AJ36" s="4">
        <v>16794</v>
      </c>
      <c r="AK36" s="5">
        <v>37372</v>
      </c>
      <c r="AL36" s="5">
        <v>37372</v>
      </c>
      <c r="AM36" s="1"/>
      <c r="AN36" s="6">
        <v>65</v>
      </c>
      <c r="AO36" s="6">
        <v>48</v>
      </c>
      <c r="AP36" s="6">
        <v>38.400000000000006</v>
      </c>
      <c r="AQ36" s="6">
        <v>38.400000000000006</v>
      </c>
      <c r="AR36" s="6">
        <v>38.400000000000006</v>
      </c>
    </row>
    <row r="37" spans="1:44" x14ac:dyDescent="0.2">
      <c r="A37" s="1" t="s">
        <v>208</v>
      </c>
      <c r="B37" s="1" t="s">
        <v>209</v>
      </c>
      <c r="C37" s="1" t="s">
        <v>2</v>
      </c>
      <c r="D37" s="1" t="s">
        <v>3</v>
      </c>
      <c r="E37" s="1" t="s">
        <v>4</v>
      </c>
      <c r="F37" s="1" t="s">
        <v>131</v>
      </c>
      <c r="G37" s="2">
        <v>80</v>
      </c>
      <c r="H37" s="1"/>
      <c r="I37" s="1" t="s">
        <v>181</v>
      </c>
      <c r="J37" s="1" t="s">
        <v>7</v>
      </c>
      <c r="K37" s="1" t="s">
        <v>32</v>
      </c>
      <c r="L37" s="1" t="s">
        <v>9</v>
      </c>
      <c r="M37" s="1" t="s">
        <v>10</v>
      </c>
      <c r="N37" s="1" t="s">
        <v>11</v>
      </c>
      <c r="O37" s="1"/>
      <c r="P37" s="1" t="s">
        <v>12</v>
      </c>
      <c r="Q37" s="1"/>
      <c r="R37" s="1" t="s">
        <v>133</v>
      </c>
      <c r="S37" s="1" t="s">
        <v>134</v>
      </c>
      <c r="T37" s="1" t="s">
        <v>134</v>
      </c>
      <c r="U37" s="1" t="s">
        <v>135</v>
      </c>
      <c r="V37" s="1" t="s">
        <v>136</v>
      </c>
      <c r="W37" s="1" t="s">
        <v>137</v>
      </c>
      <c r="X37" s="3" t="s">
        <v>15</v>
      </c>
      <c r="Y37" s="1" t="s">
        <v>16</v>
      </c>
      <c r="Z37" s="1"/>
      <c r="AA37" s="1"/>
      <c r="AB37" s="1" t="s">
        <v>17</v>
      </c>
      <c r="AC37" s="1"/>
      <c r="AD37" s="1">
        <v>30</v>
      </c>
      <c r="AE37" s="1" t="s">
        <v>18</v>
      </c>
      <c r="AF37" s="1">
        <v>6</v>
      </c>
      <c r="AG37" s="1" t="s">
        <v>19</v>
      </c>
      <c r="AH37" s="1"/>
      <c r="AI37" s="1" t="s">
        <v>20</v>
      </c>
      <c r="AJ37" s="4">
        <v>20057</v>
      </c>
      <c r="AK37" s="5">
        <v>48234</v>
      </c>
      <c r="AL37" s="5">
        <v>48234</v>
      </c>
      <c r="AM37" s="1"/>
      <c r="AN37" s="6">
        <v>80</v>
      </c>
      <c r="AO37" s="6">
        <v>90</v>
      </c>
      <c r="AP37" s="6">
        <v>72</v>
      </c>
      <c r="AQ37" s="6">
        <v>72</v>
      </c>
      <c r="AR37" s="6">
        <v>72</v>
      </c>
    </row>
    <row r="38" spans="1:44" x14ac:dyDescent="0.2">
      <c r="A38" s="1" t="s">
        <v>210</v>
      </c>
      <c r="B38" s="1" t="s">
        <v>211</v>
      </c>
      <c r="C38" s="1" t="s">
        <v>2</v>
      </c>
      <c r="D38" s="1" t="s">
        <v>3</v>
      </c>
      <c r="E38" s="1" t="s">
        <v>4</v>
      </c>
      <c r="F38" s="1" t="s">
        <v>131</v>
      </c>
      <c r="G38" s="2">
        <v>100</v>
      </c>
      <c r="H38" s="1"/>
      <c r="I38" s="1" t="s">
        <v>181</v>
      </c>
      <c r="J38" s="1" t="s">
        <v>7</v>
      </c>
      <c r="K38" s="1" t="s">
        <v>32</v>
      </c>
      <c r="L38" s="1" t="s">
        <v>9</v>
      </c>
      <c r="M38" s="1" t="s">
        <v>10</v>
      </c>
      <c r="N38" s="1" t="s">
        <v>11</v>
      </c>
      <c r="O38" s="1"/>
      <c r="P38" s="1" t="s">
        <v>12</v>
      </c>
      <c r="Q38" s="1"/>
      <c r="R38" s="1" t="s">
        <v>133</v>
      </c>
      <c r="S38" s="1" t="s">
        <v>134</v>
      </c>
      <c r="T38" s="1" t="s">
        <v>134</v>
      </c>
      <c r="U38" s="1" t="s">
        <v>135</v>
      </c>
      <c r="V38" s="1" t="s">
        <v>136</v>
      </c>
      <c r="W38" s="1" t="s">
        <v>137</v>
      </c>
      <c r="X38" s="3" t="s">
        <v>15</v>
      </c>
      <c r="Y38" s="1" t="s">
        <v>16</v>
      </c>
      <c r="Z38" s="1"/>
      <c r="AA38" s="1"/>
      <c r="AB38" s="1" t="s">
        <v>17</v>
      </c>
      <c r="AC38" s="1"/>
      <c r="AD38" s="1">
        <v>30</v>
      </c>
      <c r="AE38" s="1" t="s">
        <v>18</v>
      </c>
      <c r="AF38" s="1">
        <v>6</v>
      </c>
      <c r="AG38" s="1" t="s">
        <v>19</v>
      </c>
      <c r="AH38" s="1"/>
      <c r="AI38" s="1" t="s">
        <v>20</v>
      </c>
      <c r="AJ38" s="4">
        <v>31286</v>
      </c>
      <c r="AK38" s="5">
        <v>72140</v>
      </c>
      <c r="AL38" s="5">
        <v>72140</v>
      </c>
      <c r="AM38" s="1"/>
      <c r="AN38" s="6">
        <v>100</v>
      </c>
      <c r="AO38" s="6">
        <v>145</v>
      </c>
      <c r="AP38" s="6">
        <v>116</v>
      </c>
      <c r="AQ38" s="6">
        <v>116</v>
      </c>
      <c r="AR38" s="6">
        <v>116</v>
      </c>
    </row>
    <row r="39" spans="1:44" x14ac:dyDescent="0.2">
      <c r="A39" s="1" t="s">
        <v>212</v>
      </c>
      <c r="B39" s="1" t="s">
        <v>213</v>
      </c>
      <c r="C39" s="1" t="s">
        <v>2</v>
      </c>
      <c r="D39" s="1" t="s">
        <v>3</v>
      </c>
      <c r="E39" s="1" t="s">
        <v>4</v>
      </c>
      <c r="F39" s="1" t="s">
        <v>131</v>
      </c>
      <c r="G39" s="2">
        <v>150</v>
      </c>
      <c r="H39" s="1"/>
      <c r="I39" s="1" t="s">
        <v>181</v>
      </c>
      <c r="J39" s="1" t="s">
        <v>7</v>
      </c>
      <c r="K39" s="1" t="s">
        <v>32</v>
      </c>
      <c r="L39" s="1" t="s">
        <v>9</v>
      </c>
      <c r="M39" s="1" t="s">
        <v>10</v>
      </c>
      <c r="N39" s="1" t="s">
        <v>11</v>
      </c>
      <c r="O39" s="1"/>
      <c r="P39" s="1" t="s">
        <v>12</v>
      </c>
      <c r="Q39" s="1"/>
      <c r="R39" s="1" t="s">
        <v>133</v>
      </c>
      <c r="S39" s="1" t="s">
        <v>134</v>
      </c>
      <c r="T39" s="1" t="s">
        <v>134</v>
      </c>
      <c r="U39" s="1" t="s">
        <v>135</v>
      </c>
      <c r="V39" s="1" t="s">
        <v>136</v>
      </c>
      <c r="W39" s="1" t="s">
        <v>137</v>
      </c>
      <c r="X39" s="3" t="s">
        <v>15</v>
      </c>
      <c r="Y39" s="1" t="s">
        <v>16</v>
      </c>
      <c r="Z39" s="1"/>
      <c r="AA39" s="1"/>
      <c r="AB39" s="1" t="s">
        <v>17</v>
      </c>
      <c r="AC39" s="1"/>
      <c r="AD39" s="1">
        <v>30</v>
      </c>
      <c r="AE39" s="1" t="s">
        <v>18</v>
      </c>
      <c r="AF39" s="1">
        <v>6</v>
      </c>
      <c r="AG39" s="1" t="s">
        <v>19</v>
      </c>
      <c r="AH39" s="1"/>
      <c r="AI39" s="1" t="s">
        <v>20</v>
      </c>
      <c r="AJ39" s="4">
        <v>49703</v>
      </c>
      <c r="AK39" s="5">
        <v>130731</v>
      </c>
      <c r="AL39" s="5">
        <v>130731</v>
      </c>
      <c r="AM39" s="1"/>
      <c r="AN39" s="6">
        <v>150</v>
      </c>
      <c r="AO39" s="6">
        <v>190</v>
      </c>
      <c r="AP39" s="6">
        <v>152</v>
      </c>
      <c r="AQ39" s="6">
        <v>152</v>
      </c>
      <c r="AR39" s="6">
        <v>152</v>
      </c>
    </row>
    <row r="40" spans="1:44" x14ac:dyDescent="0.2">
      <c r="A40" s="1" t="s">
        <v>214</v>
      </c>
      <c r="B40" s="1" t="s">
        <v>215</v>
      </c>
      <c r="C40" s="1" t="s">
        <v>2</v>
      </c>
      <c r="D40" s="1" t="s">
        <v>3</v>
      </c>
      <c r="E40" s="1" t="s">
        <v>4</v>
      </c>
      <c r="F40" s="1" t="s">
        <v>131</v>
      </c>
      <c r="G40" s="2">
        <v>15</v>
      </c>
      <c r="H40" s="1"/>
      <c r="I40" s="1" t="s">
        <v>6</v>
      </c>
      <c r="J40" s="1" t="s">
        <v>7</v>
      </c>
      <c r="K40" s="1" t="s">
        <v>52</v>
      </c>
      <c r="L40" s="1" t="s">
        <v>9</v>
      </c>
      <c r="M40" s="1" t="s">
        <v>10</v>
      </c>
      <c r="N40" s="1" t="s">
        <v>11</v>
      </c>
      <c r="O40" s="1"/>
      <c r="P40" s="1" t="s">
        <v>12</v>
      </c>
      <c r="Q40" s="1"/>
      <c r="R40" s="1" t="s">
        <v>133</v>
      </c>
      <c r="S40" s="1" t="s">
        <v>134</v>
      </c>
      <c r="T40" s="1" t="s">
        <v>134</v>
      </c>
      <c r="U40" s="1" t="s">
        <v>135</v>
      </c>
      <c r="V40" s="1" t="s">
        <v>136</v>
      </c>
      <c r="W40" s="1" t="s">
        <v>137</v>
      </c>
      <c r="X40" s="3" t="s">
        <v>15</v>
      </c>
      <c r="Y40" s="1" t="s">
        <v>16</v>
      </c>
      <c r="Z40" s="1"/>
      <c r="AA40" s="1"/>
      <c r="AB40" s="1" t="s">
        <v>17</v>
      </c>
      <c r="AC40" s="1"/>
      <c r="AD40" s="1">
        <v>30</v>
      </c>
      <c r="AE40" s="1" t="s">
        <v>18</v>
      </c>
      <c r="AF40" s="1">
        <v>6</v>
      </c>
      <c r="AG40" s="1" t="s">
        <v>19</v>
      </c>
      <c r="AH40" s="1"/>
      <c r="AI40" s="1" t="s">
        <v>20</v>
      </c>
      <c r="AJ40" s="4">
        <v>1478</v>
      </c>
      <c r="AK40" s="5">
        <v>3051</v>
      </c>
      <c r="AL40" s="5">
        <v>3051</v>
      </c>
      <c r="AM40" s="1"/>
      <c r="AN40" s="6">
        <v>15</v>
      </c>
      <c r="AO40" s="6">
        <v>5</v>
      </c>
      <c r="AP40" s="6">
        <v>4</v>
      </c>
      <c r="AQ40" s="6">
        <v>4</v>
      </c>
      <c r="AR40" s="6">
        <v>4</v>
      </c>
    </row>
    <row r="41" spans="1:44" x14ac:dyDescent="0.2">
      <c r="A41" s="1" t="s">
        <v>216</v>
      </c>
      <c r="B41" s="1" t="s">
        <v>217</v>
      </c>
      <c r="C41" s="1" t="s">
        <v>2</v>
      </c>
      <c r="D41" s="1" t="s">
        <v>3</v>
      </c>
      <c r="E41" s="1" t="s">
        <v>4</v>
      </c>
      <c r="F41" s="1" t="s">
        <v>131</v>
      </c>
      <c r="G41" s="2">
        <v>20</v>
      </c>
      <c r="H41" s="1"/>
      <c r="I41" s="1" t="s">
        <v>23</v>
      </c>
      <c r="J41" s="1" t="s">
        <v>7</v>
      </c>
      <c r="K41" s="1" t="s">
        <v>52</v>
      </c>
      <c r="L41" s="1" t="s">
        <v>9</v>
      </c>
      <c r="M41" s="1" t="s">
        <v>10</v>
      </c>
      <c r="N41" s="1" t="s">
        <v>11</v>
      </c>
      <c r="O41" s="1"/>
      <c r="P41" s="1" t="s">
        <v>12</v>
      </c>
      <c r="Q41" s="1"/>
      <c r="R41" s="1" t="s">
        <v>133</v>
      </c>
      <c r="S41" s="1" t="s">
        <v>134</v>
      </c>
      <c r="T41" s="1" t="s">
        <v>134</v>
      </c>
      <c r="U41" s="1" t="s">
        <v>135</v>
      </c>
      <c r="V41" s="1" t="s">
        <v>136</v>
      </c>
      <c r="W41" s="1" t="s">
        <v>137</v>
      </c>
      <c r="X41" s="3" t="s">
        <v>15</v>
      </c>
      <c r="Y41" s="1" t="s">
        <v>16</v>
      </c>
      <c r="Z41" s="1"/>
      <c r="AA41" s="1"/>
      <c r="AB41" s="1" t="s">
        <v>17</v>
      </c>
      <c r="AC41" s="1"/>
      <c r="AD41" s="1">
        <v>30</v>
      </c>
      <c r="AE41" s="1" t="s">
        <v>18</v>
      </c>
      <c r="AF41" s="1">
        <v>6</v>
      </c>
      <c r="AG41" s="1" t="s">
        <v>19</v>
      </c>
      <c r="AH41" s="1"/>
      <c r="AI41" s="1" t="s">
        <v>20</v>
      </c>
      <c r="AJ41" s="4">
        <v>1683</v>
      </c>
      <c r="AK41" s="5">
        <v>3590</v>
      </c>
      <c r="AL41" s="5">
        <v>3590</v>
      </c>
      <c r="AM41" s="1"/>
      <c r="AN41" s="6">
        <v>20</v>
      </c>
      <c r="AO41" s="6">
        <v>5</v>
      </c>
      <c r="AP41" s="6">
        <v>4</v>
      </c>
      <c r="AQ41" s="6">
        <v>4</v>
      </c>
      <c r="AR41" s="6">
        <v>4</v>
      </c>
    </row>
    <row r="42" spans="1:44" x14ac:dyDescent="0.2">
      <c r="A42" s="1" t="s">
        <v>218</v>
      </c>
      <c r="B42" s="1" t="s">
        <v>219</v>
      </c>
      <c r="C42" s="1" t="s">
        <v>2</v>
      </c>
      <c r="D42" s="1" t="s">
        <v>3</v>
      </c>
      <c r="E42" s="1" t="s">
        <v>4</v>
      </c>
      <c r="F42" s="1" t="s">
        <v>131</v>
      </c>
      <c r="G42" s="2">
        <v>25</v>
      </c>
      <c r="H42" s="1"/>
      <c r="I42" s="1" t="s">
        <v>23</v>
      </c>
      <c r="J42" s="1" t="s">
        <v>7</v>
      </c>
      <c r="K42" s="1" t="s">
        <v>52</v>
      </c>
      <c r="L42" s="1" t="s">
        <v>9</v>
      </c>
      <c r="M42" s="1" t="s">
        <v>10</v>
      </c>
      <c r="N42" s="1" t="s">
        <v>11</v>
      </c>
      <c r="O42" s="1"/>
      <c r="P42" s="1" t="s">
        <v>12</v>
      </c>
      <c r="Q42" s="1"/>
      <c r="R42" s="1" t="s">
        <v>133</v>
      </c>
      <c r="S42" s="1" t="s">
        <v>134</v>
      </c>
      <c r="T42" s="1" t="s">
        <v>134</v>
      </c>
      <c r="U42" s="1" t="s">
        <v>135</v>
      </c>
      <c r="V42" s="1" t="s">
        <v>136</v>
      </c>
      <c r="W42" s="1" t="s">
        <v>137</v>
      </c>
      <c r="X42" s="3" t="s">
        <v>15</v>
      </c>
      <c r="Y42" s="1" t="s">
        <v>16</v>
      </c>
      <c r="Z42" s="1"/>
      <c r="AA42" s="1"/>
      <c r="AB42" s="1" t="s">
        <v>17</v>
      </c>
      <c r="AC42" s="1"/>
      <c r="AD42" s="1">
        <v>30</v>
      </c>
      <c r="AE42" s="1" t="s">
        <v>18</v>
      </c>
      <c r="AF42" s="1">
        <v>6</v>
      </c>
      <c r="AG42" s="1" t="s">
        <v>19</v>
      </c>
      <c r="AH42" s="1"/>
      <c r="AI42" s="1" t="s">
        <v>20</v>
      </c>
      <c r="AJ42" s="4">
        <v>2284</v>
      </c>
      <c r="AK42" s="5">
        <v>4836</v>
      </c>
      <c r="AL42" s="5">
        <v>4836</v>
      </c>
      <c r="AM42" s="1"/>
      <c r="AN42" s="6">
        <v>25</v>
      </c>
      <c r="AO42" s="6">
        <v>8</v>
      </c>
      <c r="AP42" s="6">
        <v>6.4</v>
      </c>
      <c r="AQ42" s="6">
        <v>6.4</v>
      </c>
      <c r="AR42" s="6">
        <v>6.4</v>
      </c>
    </row>
    <row r="43" spans="1:44" x14ac:dyDescent="0.2">
      <c r="A43" s="1" t="s">
        <v>220</v>
      </c>
      <c r="B43" s="1" t="s">
        <v>221</v>
      </c>
      <c r="C43" s="1" t="s">
        <v>2</v>
      </c>
      <c r="D43" s="1" t="s">
        <v>3</v>
      </c>
      <c r="E43" s="1" t="s">
        <v>4</v>
      </c>
      <c r="F43" s="1" t="s">
        <v>131</v>
      </c>
      <c r="G43" s="2">
        <v>40</v>
      </c>
      <c r="H43" s="1"/>
      <c r="I43" s="1" t="s">
        <v>23</v>
      </c>
      <c r="J43" s="1" t="s">
        <v>7</v>
      </c>
      <c r="K43" s="1" t="s">
        <v>52</v>
      </c>
      <c r="L43" s="1" t="s">
        <v>9</v>
      </c>
      <c r="M43" s="1" t="s">
        <v>10</v>
      </c>
      <c r="N43" s="1" t="s">
        <v>11</v>
      </c>
      <c r="O43" s="1"/>
      <c r="P43" s="1" t="s">
        <v>12</v>
      </c>
      <c r="Q43" s="1"/>
      <c r="R43" s="1" t="s">
        <v>133</v>
      </c>
      <c r="S43" s="1" t="s">
        <v>134</v>
      </c>
      <c r="T43" s="1" t="s">
        <v>134</v>
      </c>
      <c r="U43" s="1" t="s">
        <v>135</v>
      </c>
      <c r="V43" s="1" t="s">
        <v>136</v>
      </c>
      <c r="W43" s="1" t="s">
        <v>137</v>
      </c>
      <c r="X43" s="3" t="s">
        <v>15</v>
      </c>
      <c r="Y43" s="1" t="s">
        <v>16</v>
      </c>
      <c r="Z43" s="1"/>
      <c r="AA43" s="1"/>
      <c r="AB43" s="1" t="s">
        <v>17</v>
      </c>
      <c r="AC43" s="1"/>
      <c r="AD43" s="1">
        <v>30</v>
      </c>
      <c r="AE43" s="1" t="s">
        <v>18</v>
      </c>
      <c r="AF43" s="1">
        <v>6</v>
      </c>
      <c r="AG43" s="1" t="s">
        <v>19</v>
      </c>
      <c r="AH43" s="1"/>
      <c r="AI43" s="1" t="s">
        <v>20</v>
      </c>
      <c r="AJ43" s="4">
        <v>4632</v>
      </c>
      <c r="AK43" s="5">
        <v>9566</v>
      </c>
      <c r="AL43" s="5">
        <v>9566</v>
      </c>
      <c r="AM43" s="1"/>
      <c r="AN43" s="6">
        <v>40</v>
      </c>
      <c r="AO43" s="6">
        <v>13</v>
      </c>
      <c r="AP43" s="6">
        <v>10.4</v>
      </c>
      <c r="AQ43" s="6">
        <v>10.4</v>
      </c>
      <c r="AR43" s="6">
        <v>10.4</v>
      </c>
    </row>
    <row r="44" spans="1:44" x14ac:dyDescent="0.2">
      <c r="A44" s="1" t="s">
        <v>222</v>
      </c>
      <c r="B44" s="1" t="s">
        <v>223</v>
      </c>
      <c r="C44" s="1" t="s">
        <v>2</v>
      </c>
      <c r="D44" s="1" t="s">
        <v>3</v>
      </c>
      <c r="E44" s="1" t="s">
        <v>4</v>
      </c>
      <c r="F44" s="1" t="s">
        <v>131</v>
      </c>
      <c r="G44" s="2">
        <v>50</v>
      </c>
      <c r="H44" s="1"/>
      <c r="I44" s="1" t="s">
        <v>23</v>
      </c>
      <c r="J44" s="1" t="s">
        <v>7</v>
      </c>
      <c r="K44" s="1" t="s">
        <v>52</v>
      </c>
      <c r="L44" s="1" t="s">
        <v>9</v>
      </c>
      <c r="M44" s="1" t="s">
        <v>10</v>
      </c>
      <c r="N44" s="1" t="s">
        <v>11</v>
      </c>
      <c r="O44" s="1"/>
      <c r="P44" s="1" t="s">
        <v>12</v>
      </c>
      <c r="Q44" s="1"/>
      <c r="R44" s="1" t="s">
        <v>133</v>
      </c>
      <c r="S44" s="1" t="s">
        <v>134</v>
      </c>
      <c r="T44" s="1" t="s">
        <v>134</v>
      </c>
      <c r="U44" s="1" t="s">
        <v>135</v>
      </c>
      <c r="V44" s="1" t="s">
        <v>136</v>
      </c>
      <c r="W44" s="1" t="s">
        <v>137</v>
      </c>
      <c r="X44" s="3" t="s">
        <v>15</v>
      </c>
      <c r="Y44" s="1" t="s">
        <v>16</v>
      </c>
      <c r="Z44" s="1"/>
      <c r="AA44" s="1"/>
      <c r="AB44" s="1" t="s">
        <v>17</v>
      </c>
      <c r="AC44" s="1"/>
      <c r="AD44" s="1">
        <v>30</v>
      </c>
      <c r="AE44" s="1" t="s">
        <v>18</v>
      </c>
      <c r="AF44" s="1">
        <v>6</v>
      </c>
      <c r="AG44" s="1" t="s">
        <v>19</v>
      </c>
      <c r="AH44" s="1"/>
      <c r="AI44" s="1" t="s">
        <v>20</v>
      </c>
      <c r="AJ44" s="4">
        <v>5559</v>
      </c>
      <c r="AK44" s="5">
        <v>11489</v>
      </c>
      <c r="AL44" s="5">
        <v>11489</v>
      </c>
      <c r="AM44" s="1"/>
      <c r="AN44" s="6">
        <v>50</v>
      </c>
      <c r="AO44" s="6">
        <v>33</v>
      </c>
      <c r="AP44" s="6">
        <v>26.400000000000002</v>
      </c>
      <c r="AQ44" s="6">
        <v>26.400000000000002</v>
      </c>
      <c r="AR44" s="6">
        <v>26.400000000000002</v>
      </c>
    </row>
    <row r="45" spans="1:44" x14ac:dyDescent="0.2">
      <c r="A45" s="1" t="s">
        <v>224</v>
      </c>
      <c r="B45" s="1" t="s">
        <v>225</v>
      </c>
      <c r="C45" s="1" t="s">
        <v>2</v>
      </c>
      <c r="D45" s="1" t="s">
        <v>3</v>
      </c>
      <c r="E45" s="1" t="s">
        <v>4</v>
      </c>
      <c r="F45" s="1" t="s">
        <v>131</v>
      </c>
      <c r="G45" s="2">
        <v>15</v>
      </c>
      <c r="H45" s="1"/>
      <c r="I45" s="1" t="s">
        <v>6</v>
      </c>
      <c r="J45" s="1" t="s">
        <v>7</v>
      </c>
      <c r="K45" s="1" t="s">
        <v>32</v>
      </c>
      <c r="L45" s="1" t="s">
        <v>9</v>
      </c>
      <c r="M45" s="1" t="s">
        <v>10</v>
      </c>
      <c r="N45" s="1" t="s">
        <v>11</v>
      </c>
      <c r="O45" s="1"/>
      <c r="P45" s="1" t="s">
        <v>12</v>
      </c>
      <c r="Q45" s="1"/>
      <c r="R45" s="1" t="s">
        <v>133</v>
      </c>
      <c r="S45" s="1" t="s">
        <v>134</v>
      </c>
      <c r="T45" s="1" t="s">
        <v>134</v>
      </c>
      <c r="U45" s="1" t="s">
        <v>135</v>
      </c>
      <c r="V45" s="1" t="s">
        <v>136</v>
      </c>
      <c r="W45" s="1" t="s">
        <v>137</v>
      </c>
      <c r="X45" s="3" t="s">
        <v>15</v>
      </c>
      <c r="Y45" s="1" t="s">
        <v>16</v>
      </c>
      <c r="Z45" s="1"/>
      <c r="AA45" s="1"/>
      <c r="AB45" s="1" t="s">
        <v>17</v>
      </c>
      <c r="AC45" s="1"/>
      <c r="AD45" s="1">
        <v>30</v>
      </c>
      <c r="AE45" s="1" t="s">
        <v>18</v>
      </c>
      <c r="AF45" s="1">
        <v>6</v>
      </c>
      <c r="AG45" s="1" t="s">
        <v>19</v>
      </c>
      <c r="AH45" s="1"/>
      <c r="AI45" s="1" t="s">
        <v>20</v>
      </c>
      <c r="AJ45" s="4">
        <v>2489</v>
      </c>
      <c r="AK45" s="5">
        <v>5735</v>
      </c>
      <c r="AL45" s="5">
        <v>5735</v>
      </c>
      <c r="AM45" s="1"/>
      <c r="AN45" s="6">
        <v>15</v>
      </c>
      <c r="AO45" s="6">
        <v>5</v>
      </c>
      <c r="AP45" s="6">
        <v>4</v>
      </c>
      <c r="AQ45" s="6">
        <v>4</v>
      </c>
      <c r="AR45" s="6">
        <v>4</v>
      </c>
    </row>
    <row r="46" spans="1:44" x14ac:dyDescent="0.2">
      <c r="A46" s="1" t="s">
        <v>226</v>
      </c>
      <c r="B46" s="1" t="s">
        <v>227</v>
      </c>
      <c r="C46" s="1" t="s">
        <v>2</v>
      </c>
      <c r="D46" s="1" t="s">
        <v>3</v>
      </c>
      <c r="E46" s="1" t="s">
        <v>4</v>
      </c>
      <c r="F46" s="1" t="s">
        <v>131</v>
      </c>
      <c r="G46" s="2">
        <v>20</v>
      </c>
      <c r="H46" s="1"/>
      <c r="I46" s="1" t="s">
        <v>23</v>
      </c>
      <c r="J46" s="1" t="s">
        <v>7</v>
      </c>
      <c r="K46" s="1" t="s">
        <v>32</v>
      </c>
      <c r="L46" s="1" t="s">
        <v>9</v>
      </c>
      <c r="M46" s="1" t="s">
        <v>10</v>
      </c>
      <c r="N46" s="1" t="s">
        <v>11</v>
      </c>
      <c r="O46" s="1"/>
      <c r="P46" s="1" t="s">
        <v>12</v>
      </c>
      <c r="Q46" s="1"/>
      <c r="R46" s="1" t="s">
        <v>133</v>
      </c>
      <c r="S46" s="1" t="s">
        <v>134</v>
      </c>
      <c r="T46" s="1" t="s">
        <v>134</v>
      </c>
      <c r="U46" s="1" t="s">
        <v>135</v>
      </c>
      <c r="V46" s="1" t="s">
        <v>136</v>
      </c>
      <c r="W46" s="1" t="s">
        <v>137</v>
      </c>
      <c r="X46" s="3" t="s">
        <v>15</v>
      </c>
      <c r="Y46" s="1" t="s">
        <v>16</v>
      </c>
      <c r="Z46" s="1"/>
      <c r="AA46" s="1"/>
      <c r="AB46" s="1" t="s">
        <v>17</v>
      </c>
      <c r="AC46" s="1"/>
      <c r="AD46" s="1">
        <v>30</v>
      </c>
      <c r="AE46" s="1" t="s">
        <v>18</v>
      </c>
      <c r="AF46" s="1">
        <v>6</v>
      </c>
      <c r="AG46" s="1" t="s">
        <v>19</v>
      </c>
      <c r="AH46" s="1"/>
      <c r="AI46" s="1" t="s">
        <v>20</v>
      </c>
      <c r="AJ46" s="4">
        <v>2874</v>
      </c>
      <c r="AK46" s="5">
        <v>6465</v>
      </c>
      <c r="AL46" s="5">
        <v>6465</v>
      </c>
      <c r="AM46" s="1"/>
      <c r="AN46" s="6">
        <v>20</v>
      </c>
      <c r="AO46" s="6">
        <v>5</v>
      </c>
      <c r="AP46" s="6">
        <v>4</v>
      </c>
      <c r="AQ46" s="6">
        <v>4</v>
      </c>
      <c r="AR46" s="6">
        <v>4</v>
      </c>
    </row>
    <row r="47" spans="1:44" x14ac:dyDescent="0.2">
      <c r="A47" s="1" t="s">
        <v>228</v>
      </c>
      <c r="B47" s="1" t="s">
        <v>229</v>
      </c>
      <c r="C47" s="1" t="s">
        <v>2</v>
      </c>
      <c r="D47" s="1" t="s">
        <v>3</v>
      </c>
      <c r="E47" s="1" t="s">
        <v>4</v>
      </c>
      <c r="F47" s="1" t="s">
        <v>131</v>
      </c>
      <c r="G47" s="2">
        <v>25</v>
      </c>
      <c r="H47" s="1"/>
      <c r="I47" s="1" t="s">
        <v>23</v>
      </c>
      <c r="J47" s="1" t="s">
        <v>7</v>
      </c>
      <c r="K47" s="1" t="s">
        <v>32</v>
      </c>
      <c r="L47" s="1" t="s">
        <v>9</v>
      </c>
      <c r="M47" s="1" t="s">
        <v>10</v>
      </c>
      <c r="N47" s="1" t="s">
        <v>11</v>
      </c>
      <c r="O47" s="1"/>
      <c r="P47" s="1" t="s">
        <v>12</v>
      </c>
      <c r="Q47" s="1"/>
      <c r="R47" s="1" t="s">
        <v>133</v>
      </c>
      <c r="S47" s="1" t="s">
        <v>134</v>
      </c>
      <c r="T47" s="1" t="s">
        <v>134</v>
      </c>
      <c r="U47" s="1" t="s">
        <v>135</v>
      </c>
      <c r="V47" s="1" t="s">
        <v>136</v>
      </c>
      <c r="W47" s="1" t="s">
        <v>137</v>
      </c>
      <c r="X47" s="3" t="s">
        <v>15</v>
      </c>
      <c r="Y47" s="1" t="s">
        <v>16</v>
      </c>
      <c r="Z47" s="1"/>
      <c r="AA47" s="1"/>
      <c r="AB47" s="1" t="s">
        <v>17</v>
      </c>
      <c r="AC47" s="1"/>
      <c r="AD47" s="1">
        <v>30</v>
      </c>
      <c r="AE47" s="1" t="s">
        <v>18</v>
      </c>
      <c r="AF47" s="1">
        <v>6</v>
      </c>
      <c r="AG47" s="1" t="s">
        <v>19</v>
      </c>
      <c r="AH47" s="1"/>
      <c r="AI47" s="1" t="s">
        <v>20</v>
      </c>
      <c r="AJ47" s="4">
        <v>3893</v>
      </c>
      <c r="AK47" s="5">
        <v>8613</v>
      </c>
      <c r="AL47" s="5">
        <v>8613</v>
      </c>
      <c r="AM47" s="1"/>
      <c r="AN47" s="6">
        <v>25</v>
      </c>
      <c r="AO47" s="6">
        <v>8</v>
      </c>
      <c r="AP47" s="6">
        <v>6.4</v>
      </c>
      <c r="AQ47" s="6">
        <v>6.4</v>
      </c>
      <c r="AR47" s="6">
        <v>6.4</v>
      </c>
    </row>
    <row r="48" spans="1:44" x14ac:dyDescent="0.2">
      <c r="A48" s="1" t="s">
        <v>230</v>
      </c>
      <c r="B48" s="1" t="s">
        <v>231</v>
      </c>
      <c r="C48" s="1" t="s">
        <v>2</v>
      </c>
      <c r="D48" s="1" t="s">
        <v>3</v>
      </c>
      <c r="E48" s="1" t="s">
        <v>4</v>
      </c>
      <c r="F48" s="1" t="s">
        <v>131</v>
      </c>
      <c r="G48" s="2">
        <v>40</v>
      </c>
      <c r="H48" s="1"/>
      <c r="I48" s="1" t="s">
        <v>23</v>
      </c>
      <c r="J48" s="1" t="s">
        <v>7</v>
      </c>
      <c r="K48" s="1" t="s">
        <v>32</v>
      </c>
      <c r="L48" s="1" t="s">
        <v>9</v>
      </c>
      <c r="M48" s="1" t="s">
        <v>10</v>
      </c>
      <c r="N48" s="1" t="s">
        <v>11</v>
      </c>
      <c r="O48" s="1"/>
      <c r="P48" s="1" t="s">
        <v>12</v>
      </c>
      <c r="Q48" s="1"/>
      <c r="R48" s="1" t="s">
        <v>133</v>
      </c>
      <c r="S48" s="1" t="s">
        <v>134</v>
      </c>
      <c r="T48" s="1" t="s">
        <v>134</v>
      </c>
      <c r="U48" s="1" t="s">
        <v>135</v>
      </c>
      <c r="V48" s="1" t="s">
        <v>136</v>
      </c>
      <c r="W48" s="1" t="s">
        <v>137</v>
      </c>
      <c r="X48" s="3" t="s">
        <v>15</v>
      </c>
      <c r="Y48" s="1" t="s">
        <v>16</v>
      </c>
      <c r="Z48" s="1"/>
      <c r="AA48" s="1"/>
      <c r="AB48" s="1" t="s">
        <v>17</v>
      </c>
      <c r="AC48" s="1"/>
      <c r="AD48" s="1">
        <v>30</v>
      </c>
      <c r="AE48" s="1" t="s">
        <v>18</v>
      </c>
      <c r="AF48" s="1">
        <v>6</v>
      </c>
      <c r="AG48" s="1" t="s">
        <v>19</v>
      </c>
      <c r="AH48" s="1"/>
      <c r="AI48" s="1" t="s">
        <v>20</v>
      </c>
      <c r="AJ48" s="4">
        <v>7855</v>
      </c>
      <c r="AK48" s="5">
        <v>16380</v>
      </c>
      <c r="AL48" s="5">
        <v>16380</v>
      </c>
      <c r="AM48" s="1"/>
      <c r="AN48" s="6">
        <v>40</v>
      </c>
      <c r="AO48" s="6">
        <v>13</v>
      </c>
      <c r="AP48" s="6">
        <v>10.4</v>
      </c>
      <c r="AQ48" s="6">
        <v>10.4</v>
      </c>
      <c r="AR48" s="6">
        <v>10.4</v>
      </c>
    </row>
    <row r="49" spans="1:44" x14ac:dyDescent="0.2">
      <c r="A49" s="1" t="s">
        <v>232</v>
      </c>
      <c r="B49" s="1" t="s">
        <v>233</v>
      </c>
      <c r="C49" s="1" t="s">
        <v>2</v>
      </c>
      <c r="D49" s="1" t="s">
        <v>3</v>
      </c>
      <c r="E49" s="1" t="s">
        <v>4</v>
      </c>
      <c r="F49" s="1" t="s">
        <v>131</v>
      </c>
      <c r="G49" s="2">
        <v>50</v>
      </c>
      <c r="H49" s="1"/>
      <c r="I49" s="1" t="s">
        <v>23</v>
      </c>
      <c r="J49" s="1" t="s">
        <v>7</v>
      </c>
      <c r="K49" s="1" t="s">
        <v>32</v>
      </c>
      <c r="L49" s="1" t="s">
        <v>9</v>
      </c>
      <c r="M49" s="1" t="s">
        <v>10</v>
      </c>
      <c r="N49" s="1" t="s">
        <v>11</v>
      </c>
      <c r="O49" s="1"/>
      <c r="P49" s="1" t="s">
        <v>12</v>
      </c>
      <c r="Q49" s="1"/>
      <c r="R49" s="1" t="s">
        <v>133</v>
      </c>
      <c r="S49" s="1" t="s">
        <v>134</v>
      </c>
      <c r="T49" s="1" t="s">
        <v>134</v>
      </c>
      <c r="U49" s="1" t="s">
        <v>135</v>
      </c>
      <c r="V49" s="1" t="s">
        <v>136</v>
      </c>
      <c r="W49" s="1" t="s">
        <v>137</v>
      </c>
      <c r="X49" s="3" t="s">
        <v>15</v>
      </c>
      <c r="Y49" s="1" t="s">
        <v>16</v>
      </c>
      <c r="Z49" s="1"/>
      <c r="AA49" s="1"/>
      <c r="AB49" s="1" t="s">
        <v>17</v>
      </c>
      <c r="AC49" s="1"/>
      <c r="AD49" s="1">
        <v>30</v>
      </c>
      <c r="AE49" s="1" t="s">
        <v>18</v>
      </c>
      <c r="AF49" s="1">
        <v>6</v>
      </c>
      <c r="AG49" s="1" t="s">
        <v>19</v>
      </c>
      <c r="AH49" s="1"/>
      <c r="AI49" s="1" t="s">
        <v>20</v>
      </c>
      <c r="AJ49" s="4">
        <v>9370</v>
      </c>
      <c r="AK49" s="5">
        <v>20880</v>
      </c>
      <c r="AL49" s="5">
        <v>20880</v>
      </c>
      <c r="AM49" s="1"/>
      <c r="AN49" s="6">
        <v>50</v>
      </c>
      <c r="AO49" s="6">
        <v>33</v>
      </c>
      <c r="AP49" s="6">
        <v>26.400000000000002</v>
      </c>
      <c r="AQ49" s="6">
        <v>26.400000000000002</v>
      </c>
      <c r="AR49" s="6">
        <v>26.400000000000002</v>
      </c>
    </row>
    <row r="50" spans="1:44" x14ac:dyDescent="0.2">
      <c r="A50" s="1" t="s">
        <v>234</v>
      </c>
      <c r="B50" s="1" t="s">
        <v>235</v>
      </c>
      <c r="C50" s="1" t="s">
        <v>2</v>
      </c>
      <c r="D50" s="1" t="s">
        <v>3</v>
      </c>
      <c r="E50" s="1" t="s">
        <v>4</v>
      </c>
      <c r="F50" s="1" t="s">
        <v>131</v>
      </c>
      <c r="G50" s="2">
        <v>15</v>
      </c>
      <c r="H50" s="1"/>
      <c r="I50" s="1" t="s">
        <v>178</v>
      </c>
      <c r="J50" s="1" t="s">
        <v>7</v>
      </c>
      <c r="K50" s="1" t="s">
        <v>52</v>
      </c>
      <c r="L50" s="1" t="s">
        <v>9</v>
      </c>
      <c r="M50" s="1" t="s">
        <v>10</v>
      </c>
      <c r="N50" s="1" t="s">
        <v>11</v>
      </c>
      <c r="O50" s="1"/>
      <c r="P50" s="1" t="s">
        <v>69</v>
      </c>
      <c r="Q50" s="1"/>
      <c r="R50" s="1" t="s">
        <v>133</v>
      </c>
      <c r="S50" s="1" t="s">
        <v>134</v>
      </c>
      <c r="T50" s="1" t="s">
        <v>134</v>
      </c>
      <c r="U50" s="1" t="s">
        <v>135</v>
      </c>
      <c r="V50" s="1" t="s">
        <v>136</v>
      </c>
      <c r="W50" s="1" t="s">
        <v>137</v>
      </c>
      <c r="X50" s="3" t="s">
        <v>15</v>
      </c>
      <c r="Y50" s="1" t="s">
        <v>16</v>
      </c>
      <c r="Z50" s="1"/>
      <c r="AA50" s="1"/>
      <c r="AB50" s="1" t="s">
        <v>17</v>
      </c>
      <c r="AC50" s="1"/>
      <c r="AD50" s="1">
        <v>30</v>
      </c>
      <c r="AE50" s="1" t="s">
        <v>18</v>
      </c>
      <c r="AF50" s="1">
        <v>6</v>
      </c>
      <c r="AG50" s="1" t="s">
        <v>19</v>
      </c>
      <c r="AH50" s="1"/>
      <c r="AI50" s="1" t="s">
        <v>20</v>
      </c>
      <c r="AJ50" s="4">
        <v>1878</v>
      </c>
      <c r="AK50" s="5">
        <v>3939</v>
      </c>
      <c r="AL50" s="5">
        <v>3939</v>
      </c>
      <c r="AM50" s="1"/>
      <c r="AN50" s="6">
        <v>15</v>
      </c>
      <c r="AO50" s="6">
        <v>5</v>
      </c>
      <c r="AP50" s="6">
        <v>4</v>
      </c>
      <c r="AQ50" s="6">
        <v>4</v>
      </c>
      <c r="AR50" s="6">
        <v>4</v>
      </c>
    </row>
    <row r="51" spans="1:44" x14ac:dyDescent="0.2">
      <c r="A51" s="1" t="s">
        <v>236</v>
      </c>
      <c r="B51" s="1" t="s">
        <v>237</v>
      </c>
      <c r="C51" s="1" t="s">
        <v>2</v>
      </c>
      <c r="D51" s="1" t="s">
        <v>3</v>
      </c>
      <c r="E51" s="1" t="s">
        <v>4</v>
      </c>
      <c r="F51" s="1" t="s">
        <v>131</v>
      </c>
      <c r="G51" s="2">
        <v>20</v>
      </c>
      <c r="H51" s="1"/>
      <c r="I51" s="1" t="s">
        <v>181</v>
      </c>
      <c r="J51" s="1" t="s">
        <v>7</v>
      </c>
      <c r="K51" s="1" t="s">
        <v>52</v>
      </c>
      <c r="L51" s="1" t="s">
        <v>9</v>
      </c>
      <c r="M51" s="1" t="s">
        <v>10</v>
      </c>
      <c r="N51" s="1" t="s">
        <v>11</v>
      </c>
      <c r="O51" s="1"/>
      <c r="P51" s="1" t="s">
        <v>69</v>
      </c>
      <c r="Q51" s="1"/>
      <c r="R51" s="1" t="s">
        <v>133</v>
      </c>
      <c r="S51" s="1" t="s">
        <v>134</v>
      </c>
      <c r="T51" s="1" t="s">
        <v>134</v>
      </c>
      <c r="U51" s="1" t="s">
        <v>135</v>
      </c>
      <c r="V51" s="1" t="s">
        <v>136</v>
      </c>
      <c r="W51" s="1" t="s">
        <v>137</v>
      </c>
      <c r="X51" s="3" t="s">
        <v>15</v>
      </c>
      <c r="Y51" s="1" t="s">
        <v>16</v>
      </c>
      <c r="Z51" s="1"/>
      <c r="AA51" s="1"/>
      <c r="AB51" s="1" t="s">
        <v>17</v>
      </c>
      <c r="AC51" s="1"/>
      <c r="AD51" s="1">
        <v>30</v>
      </c>
      <c r="AE51" s="1" t="s">
        <v>18</v>
      </c>
      <c r="AF51" s="1">
        <v>6</v>
      </c>
      <c r="AG51" s="1" t="s">
        <v>19</v>
      </c>
      <c r="AH51" s="1"/>
      <c r="AI51" s="1" t="s">
        <v>20</v>
      </c>
      <c r="AJ51" s="4">
        <v>1957</v>
      </c>
      <c r="AK51" s="5">
        <v>4127</v>
      </c>
      <c r="AL51" s="5">
        <v>4127</v>
      </c>
      <c r="AM51" s="1"/>
      <c r="AN51" s="6">
        <v>20</v>
      </c>
      <c r="AO51" s="6">
        <v>6.5</v>
      </c>
      <c r="AP51" s="6">
        <v>5.2</v>
      </c>
      <c r="AQ51" s="6">
        <v>5.2</v>
      </c>
      <c r="AR51" s="6">
        <v>5.2</v>
      </c>
    </row>
    <row r="52" spans="1:44" x14ac:dyDescent="0.2">
      <c r="A52" s="1" t="s">
        <v>238</v>
      </c>
      <c r="B52" s="1" t="s">
        <v>239</v>
      </c>
      <c r="C52" s="1" t="s">
        <v>2</v>
      </c>
      <c r="D52" s="1" t="s">
        <v>3</v>
      </c>
      <c r="E52" s="1" t="s">
        <v>4</v>
      </c>
      <c r="F52" s="1" t="s">
        <v>131</v>
      </c>
      <c r="G52" s="2">
        <v>25</v>
      </c>
      <c r="H52" s="1"/>
      <c r="I52" s="1" t="s">
        <v>181</v>
      </c>
      <c r="J52" s="1" t="s">
        <v>7</v>
      </c>
      <c r="K52" s="1" t="s">
        <v>52</v>
      </c>
      <c r="L52" s="1" t="s">
        <v>9</v>
      </c>
      <c r="M52" s="1" t="s">
        <v>10</v>
      </c>
      <c r="N52" s="1" t="s">
        <v>11</v>
      </c>
      <c r="O52" s="1"/>
      <c r="P52" s="1" t="s">
        <v>69</v>
      </c>
      <c r="Q52" s="1"/>
      <c r="R52" s="1" t="s">
        <v>133</v>
      </c>
      <c r="S52" s="1" t="s">
        <v>134</v>
      </c>
      <c r="T52" s="1" t="s">
        <v>134</v>
      </c>
      <c r="U52" s="1" t="s">
        <v>135</v>
      </c>
      <c r="V52" s="1" t="s">
        <v>136</v>
      </c>
      <c r="W52" s="1" t="s">
        <v>137</v>
      </c>
      <c r="X52" s="3" t="s">
        <v>15</v>
      </c>
      <c r="Y52" s="1" t="s">
        <v>16</v>
      </c>
      <c r="Z52" s="1"/>
      <c r="AA52" s="1"/>
      <c r="AB52" s="1" t="s">
        <v>17</v>
      </c>
      <c r="AC52" s="1"/>
      <c r="AD52" s="1">
        <v>30</v>
      </c>
      <c r="AE52" s="1" t="s">
        <v>18</v>
      </c>
      <c r="AF52" s="1">
        <v>6</v>
      </c>
      <c r="AG52" s="1" t="s">
        <v>19</v>
      </c>
      <c r="AH52" s="1"/>
      <c r="AI52" s="1" t="s">
        <v>20</v>
      </c>
      <c r="AJ52" s="4">
        <v>2318</v>
      </c>
      <c r="AK52" s="5">
        <v>5277.5</v>
      </c>
      <c r="AL52" s="5">
        <v>5277.5</v>
      </c>
      <c r="AM52" s="1"/>
      <c r="AN52" s="6">
        <v>25</v>
      </c>
      <c r="AO52" s="6">
        <v>15.600000000000001</v>
      </c>
      <c r="AP52" s="6">
        <v>12.480000000000002</v>
      </c>
      <c r="AQ52" s="6">
        <v>12.480000000000002</v>
      </c>
      <c r="AR52" s="6">
        <v>12.480000000000002</v>
      </c>
    </row>
    <row r="53" spans="1:44" x14ac:dyDescent="0.2">
      <c r="A53" s="1" t="s">
        <v>240</v>
      </c>
      <c r="B53" s="1" t="s">
        <v>241</v>
      </c>
      <c r="C53" s="1" t="s">
        <v>2</v>
      </c>
      <c r="D53" s="1" t="s">
        <v>3</v>
      </c>
      <c r="E53" s="1" t="s">
        <v>4</v>
      </c>
      <c r="F53" s="1" t="s">
        <v>131</v>
      </c>
      <c r="G53" s="2">
        <v>40</v>
      </c>
      <c r="H53" s="1"/>
      <c r="I53" s="1" t="s">
        <v>181</v>
      </c>
      <c r="J53" s="1" t="s">
        <v>7</v>
      </c>
      <c r="K53" s="1" t="s">
        <v>52</v>
      </c>
      <c r="L53" s="1" t="s">
        <v>9</v>
      </c>
      <c r="M53" s="1" t="s">
        <v>10</v>
      </c>
      <c r="N53" s="1" t="s">
        <v>11</v>
      </c>
      <c r="O53" s="1"/>
      <c r="P53" s="1" t="s">
        <v>69</v>
      </c>
      <c r="Q53" s="1"/>
      <c r="R53" s="1" t="s">
        <v>133</v>
      </c>
      <c r="S53" s="1" t="s">
        <v>134</v>
      </c>
      <c r="T53" s="1" t="s">
        <v>134</v>
      </c>
      <c r="U53" s="1" t="s">
        <v>135</v>
      </c>
      <c r="V53" s="1" t="s">
        <v>136</v>
      </c>
      <c r="W53" s="1" t="s">
        <v>137</v>
      </c>
      <c r="X53" s="3" t="s">
        <v>15</v>
      </c>
      <c r="Y53" s="1" t="s">
        <v>16</v>
      </c>
      <c r="Z53" s="1"/>
      <c r="AA53" s="1"/>
      <c r="AB53" s="1" t="s">
        <v>17</v>
      </c>
      <c r="AC53" s="1"/>
      <c r="AD53" s="1">
        <v>30</v>
      </c>
      <c r="AE53" s="1" t="s">
        <v>18</v>
      </c>
      <c r="AF53" s="1">
        <v>6</v>
      </c>
      <c r="AG53" s="1" t="s">
        <v>19</v>
      </c>
      <c r="AH53" s="1"/>
      <c r="AI53" s="1" t="s">
        <v>20</v>
      </c>
      <c r="AJ53" s="4">
        <v>3549</v>
      </c>
      <c r="AK53" s="5">
        <v>8139</v>
      </c>
      <c r="AL53" s="5">
        <v>8139</v>
      </c>
      <c r="AM53" s="1"/>
      <c r="AN53" s="6">
        <v>40</v>
      </c>
      <c r="AO53" s="6">
        <v>23.400000000000002</v>
      </c>
      <c r="AP53" s="6">
        <v>18.720000000000002</v>
      </c>
      <c r="AQ53" s="6">
        <v>18.720000000000002</v>
      </c>
      <c r="AR53" s="6">
        <v>18.720000000000002</v>
      </c>
    </row>
    <row r="54" spans="1:44" x14ac:dyDescent="0.2">
      <c r="A54" s="1" t="s">
        <v>242</v>
      </c>
      <c r="B54" s="1" t="s">
        <v>243</v>
      </c>
      <c r="C54" s="1" t="s">
        <v>2</v>
      </c>
      <c r="D54" s="1" t="s">
        <v>3</v>
      </c>
      <c r="E54" s="1" t="s">
        <v>4</v>
      </c>
      <c r="F54" s="1" t="s">
        <v>131</v>
      </c>
      <c r="G54" s="2">
        <v>50</v>
      </c>
      <c r="H54" s="1"/>
      <c r="I54" s="1" t="s">
        <v>181</v>
      </c>
      <c r="J54" s="1" t="s">
        <v>7</v>
      </c>
      <c r="K54" s="1" t="s">
        <v>52</v>
      </c>
      <c r="L54" s="1" t="s">
        <v>9</v>
      </c>
      <c r="M54" s="1" t="s">
        <v>10</v>
      </c>
      <c r="N54" s="1" t="s">
        <v>11</v>
      </c>
      <c r="O54" s="1"/>
      <c r="P54" s="1" t="s">
        <v>69</v>
      </c>
      <c r="Q54" s="1"/>
      <c r="R54" s="1" t="s">
        <v>133</v>
      </c>
      <c r="S54" s="1" t="s">
        <v>134</v>
      </c>
      <c r="T54" s="1" t="s">
        <v>134</v>
      </c>
      <c r="U54" s="1" t="s">
        <v>135</v>
      </c>
      <c r="V54" s="1" t="s">
        <v>136</v>
      </c>
      <c r="W54" s="1" t="s">
        <v>137</v>
      </c>
      <c r="X54" s="3" t="s">
        <v>15</v>
      </c>
      <c r="Y54" s="1" t="s">
        <v>16</v>
      </c>
      <c r="Z54" s="1"/>
      <c r="AA54" s="1"/>
      <c r="AB54" s="1" t="s">
        <v>17</v>
      </c>
      <c r="AC54" s="1"/>
      <c r="AD54" s="1">
        <v>30</v>
      </c>
      <c r="AE54" s="1" t="s">
        <v>18</v>
      </c>
      <c r="AF54" s="1">
        <v>6</v>
      </c>
      <c r="AG54" s="1" t="s">
        <v>19</v>
      </c>
      <c r="AH54" s="1"/>
      <c r="AI54" s="1" t="s">
        <v>20</v>
      </c>
      <c r="AJ54" s="4">
        <v>5737</v>
      </c>
      <c r="AK54" s="5">
        <v>12483.5</v>
      </c>
      <c r="AL54" s="5">
        <v>12483.5</v>
      </c>
      <c r="AM54" s="1"/>
      <c r="AN54" s="6">
        <v>50</v>
      </c>
      <c r="AO54" s="6">
        <v>49.4</v>
      </c>
      <c r="AP54" s="6">
        <v>39.520000000000003</v>
      </c>
      <c r="AQ54" s="6">
        <v>39.520000000000003</v>
      </c>
      <c r="AR54" s="6">
        <v>39.520000000000003</v>
      </c>
    </row>
    <row r="55" spans="1:44" x14ac:dyDescent="0.2">
      <c r="A55" s="1" t="s">
        <v>244</v>
      </c>
      <c r="B55" s="1" t="s">
        <v>245</v>
      </c>
      <c r="C55" s="1" t="s">
        <v>2</v>
      </c>
      <c r="D55" s="1" t="s">
        <v>3</v>
      </c>
      <c r="E55" s="1" t="s">
        <v>4</v>
      </c>
      <c r="F55" s="1" t="s">
        <v>131</v>
      </c>
      <c r="G55" s="2">
        <v>65</v>
      </c>
      <c r="H55" s="1"/>
      <c r="I55" s="1" t="s">
        <v>181</v>
      </c>
      <c r="J55" s="1" t="s">
        <v>7</v>
      </c>
      <c r="K55" s="1" t="s">
        <v>52</v>
      </c>
      <c r="L55" s="1" t="s">
        <v>9</v>
      </c>
      <c r="M55" s="1" t="s">
        <v>10</v>
      </c>
      <c r="N55" s="1" t="s">
        <v>11</v>
      </c>
      <c r="O55" s="1"/>
      <c r="P55" s="1" t="s">
        <v>69</v>
      </c>
      <c r="Q55" s="1"/>
      <c r="R55" s="1" t="s">
        <v>133</v>
      </c>
      <c r="S55" s="1" t="s">
        <v>134</v>
      </c>
      <c r="T55" s="1" t="s">
        <v>134</v>
      </c>
      <c r="U55" s="1" t="s">
        <v>135</v>
      </c>
      <c r="V55" s="1" t="s">
        <v>136</v>
      </c>
      <c r="W55" s="1" t="s">
        <v>137</v>
      </c>
      <c r="X55" s="3" t="s">
        <v>15</v>
      </c>
      <c r="Y55" s="1" t="s">
        <v>16</v>
      </c>
      <c r="Z55" s="1"/>
      <c r="AA55" s="1"/>
      <c r="AB55" s="1" t="s">
        <v>17</v>
      </c>
      <c r="AC55" s="1"/>
      <c r="AD55" s="1">
        <v>30</v>
      </c>
      <c r="AE55" s="1" t="s">
        <v>18</v>
      </c>
      <c r="AF55" s="1">
        <v>6</v>
      </c>
      <c r="AG55" s="1" t="s">
        <v>19</v>
      </c>
      <c r="AH55" s="1"/>
      <c r="AI55" s="1" t="s">
        <v>20</v>
      </c>
      <c r="AJ55" s="4">
        <v>10395</v>
      </c>
      <c r="AK55" s="5">
        <v>22061</v>
      </c>
      <c r="AL55" s="5">
        <v>22061</v>
      </c>
      <c r="AM55" s="1"/>
      <c r="AN55" s="6">
        <v>65</v>
      </c>
      <c r="AO55" s="6">
        <v>62.400000000000006</v>
      </c>
      <c r="AP55" s="6">
        <v>49.920000000000009</v>
      </c>
      <c r="AQ55" s="6">
        <v>49.920000000000009</v>
      </c>
      <c r="AR55" s="6">
        <v>49.920000000000009</v>
      </c>
    </row>
    <row r="56" spans="1:44" x14ac:dyDescent="0.2">
      <c r="A56" s="1" t="s">
        <v>246</v>
      </c>
      <c r="B56" s="1" t="s">
        <v>247</v>
      </c>
      <c r="C56" s="1" t="s">
        <v>2</v>
      </c>
      <c r="D56" s="1" t="s">
        <v>3</v>
      </c>
      <c r="E56" s="1" t="s">
        <v>4</v>
      </c>
      <c r="F56" s="1" t="s">
        <v>131</v>
      </c>
      <c r="G56" s="2">
        <v>80</v>
      </c>
      <c r="H56" s="1"/>
      <c r="I56" s="1" t="s">
        <v>181</v>
      </c>
      <c r="J56" s="1" t="s">
        <v>7</v>
      </c>
      <c r="K56" s="1" t="s">
        <v>52</v>
      </c>
      <c r="L56" s="1" t="s">
        <v>9</v>
      </c>
      <c r="M56" s="1" t="s">
        <v>10</v>
      </c>
      <c r="N56" s="1" t="s">
        <v>11</v>
      </c>
      <c r="O56" s="1"/>
      <c r="P56" s="1" t="s">
        <v>69</v>
      </c>
      <c r="Q56" s="1"/>
      <c r="R56" s="1" t="s">
        <v>133</v>
      </c>
      <c r="S56" s="1" t="s">
        <v>134</v>
      </c>
      <c r="T56" s="1" t="s">
        <v>134</v>
      </c>
      <c r="U56" s="1" t="s">
        <v>135</v>
      </c>
      <c r="V56" s="1" t="s">
        <v>136</v>
      </c>
      <c r="W56" s="1" t="s">
        <v>137</v>
      </c>
      <c r="X56" s="3" t="s">
        <v>15</v>
      </c>
      <c r="Y56" s="1" t="s">
        <v>16</v>
      </c>
      <c r="Z56" s="1"/>
      <c r="AA56" s="1"/>
      <c r="AB56" s="1" t="s">
        <v>17</v>
      </c>
      <c r="AC56" s="1"/>
      <c r="AD56" s="1">
        <v>30</v>
      </c>
      <c r="AE56" s="1" t="s">
        <v>18</v>
      </c>
      <c r="AF56" s="1">
        <v>6</v>
      </c>
      <c r="AG56" s="1" t="s">
        <v>19</v>
      </c>
      <c r="AH56" s="1"/>
      <c r="AI56" s="1" t="s">
        <v>20</v>
      </c>
      <c r="AJ56" s="4">
        <v>13525</v>
      </c>
      <c r="AK56" s="5">
        <v>28174</v>
      </c>
      <c r="AL56" s="5">
        <v>28174</v>
      </c>
      <c r="AM56" s="1"/>
      <c r="AN56" s="6">
        <v>80</v>
      </c>
      <c r="AO56" s="6">
        <v>117</v>
      </c>
      <c r="AP56" s="6">
        <v>93.600000000000009</v>
      </c>
      <c r="AQ56" s="6">
        <v>93.600000000000009</v>
      </c>
      <c r="AR56" s="6">
        <v>93.600000000000009</v>
      </c>
    </row>
    <row r="57" spans="1:44" x14ac:dyDescent="0.2">
      <c r="A57" s="1" t="s">
        <v>248</v>
      </c>
      <c r="B57" s="1" t="s">
        <v>249</v>
      </c>
      <c r="C57" s="1" t="s">
        <v>2</v>
      </c>
      <c r="D57" s="1" t="s">
        <v>3</v>
      </c>
      <c r="E57" s="1" t="s">
        <v>4</v>
      </c>
      <c r="F57" s="1" t="s">
        <v>131</v>
      </c>
      <c r="G57" s="2">
        <v>100</v>
      </c>
      <c r="H57" s="1"/>
      <c r="I57" s="1" t="s">
        <v>181</v>
      </c>
      <c r="J57" s="1" t="s">
        <v>7</v>
      </c>
      <c r="K57" s="1" t="s">
        <v>52</v>
      </c>
      <c r="L57" s="1" t="s">
        <v>9</v>
      </c>
      <c r="M57" s="1" t="s">
        <v>10</v>
      </c>
      <c r="N57" s="1" t="s">
        <v>11</v>
      </c>
      <c r="O57" s="1"/>
      <c r="P57" s="1" t="s">
        <v>69</v>
      </c>
      <c r="Q57" s="1"/>
      <c r="R57" s="1" t="s">
        <v>133</v>
      </c>
      <c r="S57" s="1" t="s">
        <v>134</v>
      </c>
      <c r="T57" s="1" t="s">
        <v>134</v>
      </c>
      <c r="U57" s="1" t="s">
        <v>135</v>
      </c>
      <c r="V57" s="1" t="s">
        <v>136</v>
      </c>
      <c r="W57" s="1" t="s">
        <v>137</v>
      </c>
      <c r="X57" s="3" t="s">
        <v>15</v>
      </c>
      <c r="Y57" s="1" t="s">
        <v>16</v>
      </c>
      <c r="Z57" s="1"/>
      <c r="AA57" s="1"/>
      <c r="AB57" s="1" t="s">
        <v>17</v>
      </c>
      <c r="AC57" s="1"/>
      <c r="AD57" s="1">
        <v>30</v>
      </c>
      <c r="AE57" s="1" t="s">
        <v>18</v>
      </c>
      <c r="AF57" s="1">
        <v>6</v>
      </c>
      <c r="AG57" s="1" t="s">
        <v>19</v>
      </c>
      <c r="AH57" s="1"/>
      <c r="AI57" s="1" t="s">
        <v>20</v>
      </c>
      <c r="AJ57" s="4">
        <v>21207</v>
      </c>
      <c r="AK57" s="5">
        <v>44241.5</v>
      </c>
      <c r="AL57" s="5">
        <v>44241.5</v>
      </c>
      <c r="AM57" s="1"/>
      <c r="AN57" s="6">
        <v>100</v>
      </c>
      <c r="AO57" s="6">
        <v>188.5</v>
      </c>
      <c r="AP57" s="6">
        <v>150.80000000000001</v>
      </c>
      <c r="AQ57" s="6">
        <v>150.80000000000001</v>
      </c>
      <c r="AR57" s="6">
        <v>150.80000000000001</v>
      </c>
    </row>
    <row r="58" spans="1:44" x14ac:dyDescent="0.2">
      <c r="A58" s="1" t="s">
        <v>250</v>
      </c>
      <c r="B58" s="1" t="s">
        <v>251</v>
      </c>
      <c r="C58" s="1" t="s">
        <v>2</v>
      </c>
      <c r="D58" s="1" t="s">
        <v>3</v>
      </c>
      <c r="E58" s="1" t="s">
        <v>4</v>
      </c>
      <c r="F58" s="1" t="s">
        <v>131</v>
      </c>
      <c r="G58" s="2">
        <v>150</v>
      </c>
      <c r="H58" s="1"/>
      <c r="I58" s="1" t="s">
        <v>181</v>
      </c>
      <c r="J58" s="1" t="s">
        <v>7</v>
      </c>
      <c r="K58" s="1" t="s">
        <v>52</v>
      </c>
      <c r="L58" s="1" t="s">
        <v>9</v>
      </c>
      <c r="M58" s="1" t="s">
        <v>10</v>
      </c>
      <c r="N58" s="1" t="s">
        <v>11</v>
      </c>
      <c r="O58" s="1"/>
      <c r="P58" s="1" t="s">
        <v>69</v>
      </c>
      <c r="Q58" s="1"/>
      <c r="R58" s="1" t="s">
        <v>133</v>
      </c>
      <c r="S58" s="1" t="s">
        <v>134</v>
      </c>
      <c r="T58" s="1" t="s">
        <v>134</v>
      </c>
      <c r="U58" s="1" t="s">
        <v>135</v>
      </c>
      <c r="V58" s="1" t="s">
        <v>136</v>
      </c>
      <c r="W58" s="1" t="s">
        <v>137</v>
      </c>
      <c r="X58" s="3" t="s">
        <v>15</v>
      </c>
      <c r="Y58" s="1" t="s">
        <v>16</v>
      </c>
      <c r="Z58" s="1"/>
      <c r="AA58" s="1"/>
      <c r="AB58" s="1" t="s">
        <v>17</v>
      </c>
      <c r="AC58" s="1"/>
      <c r="AD58" s="1">
        <v>30</v>
      </c>
      <c r="AE58" s="1" t="s">
        <v>18</v>
      </c>
      <c r="AF58" s="1">
        <v>6</v>
      </c>
      <c r="AG58" s="1" t="s">
        <v>19</v>
      </c>
      <c r="AH58" s="1"/>
      <c r="AI58" s="1" t="s">
        <v>20</v>
      </c>
      <c r="AJ58" s="4">
        <v>31355</v>
      </c>
      <c r="AK58" s="5">
        <v>65233.5</v>
      </c>
      <c r="AL58" s="5">
        <v>65233.5</v>
      </c>
      <c r="AM58" s="1"/>
      <c r="AN58" s="6">
        <v>150</v>
      </c>
      <c r="AO58" s="6">
        <v>247</v>
      </c>
      <c r="AP58" s="6">
        <v>197.6</v>
      </c>
      <c r="AQ58" s="6">
        <v>197.6</v>
      </c>
      <c r="AR58" s="6">
        <v>197.6</v>
      </c>
    </row>
    <row r="59" spans="1:44" x14ac:dyDescent="0.2">
      <c r="A59" s="1" t="s">
        <v>252</v>
      </c>
      <c r="B59" s="1" t="s">
        <v>253</v>
      </c>
      <c r="C59" s="1" t="s">
        <v>2</v>
      </c>
      <c r="D59" s="1" t="s">
        <v>3</v>
      </c>
      <c r="E59" s="1" t="s">
        <v>4</v>
      </c>
      <c r="F59" s="1" t="s">
        <v>131</v>
      </c>
      <c r="G59" s="2">
        <v>15</v>
      </c>
      <c r="H59" s="1"/>
      <c r="I59" s="1" t="s">
        <v>132</v>
      </c>
      <c r="J59" s="1" t="s">
        <v>7</v>
      </c>
      <c r="K59" s="1" t="s">
        <v>52</v>
      </c>
      <c r="L59" s="1" t="s">
        <v>9</v>
      </c>
      <c r="M59" s="1" t="s">
        <v>10</v>
      </c>
      <c r="N59" s="1" t="s">
        <v>11</v>
      </c>
      <c r="O59" s="1"/>
      <c r="P59" s="1" t="s">
        <v>69</v>
      </c>
      <c r="Q59" s="1"/>
      <c r="R59" s="1" t="s">
        <v>133</v>
      </c>
      <c r="S59" s="1" t="s">
        <v>134</v>
      </c>
      <c r="T59" s="1" t="s">
        <v>134</v>
      </c>
      <c r="U59" s="1" t="s">
        <v>135</v>
      </c>
      <c r="V59" s="1" t="s">
        <v>136</v>
      </c>
      <c r="W59" s="1" t="s">
        <v>137</v>
      </c>
      <c r="X59" s="3" t="s">
        <v>15</v>
      </c>
      <c r="Y59" s="1" t="s">
        <v>16</v>
      </c>
      <c r="Z59" s="1"/>
      <c r="AA59" s="1"/>
      <c r="AB59" s="1" t="s">
        <v>17</v>
      </c>
      <c r="AC59" s="1"/>
      <c r="AD59" s="1">
        <v>30</v>
      </c>
      <c r="AE59" s="1" t="s">
        <v>18</v>
      </c>
      <c r="AF59" s="1">
        <v>6</v>
      </c>
      <c r="AG59" s="1" t="s">
        <v>19</v>
      </c>
      <c r="AH59" s="1"/>
      <c r="AI59" s="1" t="s">
        <v>20</v>
      </c>
      <c r="AJ59" s="4">
        <v>1844</v>
      </c>
      <c r="AK59" s="5">
        <v>4345</v>
      </c>
      <c r="AL59" s="5">
        <v>4345</v>
      </c>
      <c r="AM59" s="1"/>
      <c r="AN59" s="6">
        <v>15</v>
      </c>
      <c r="AO59" s="6">
        <v>11.700000000000001</v>
      </c>
      <c r="AP59" s="6">
        <v>9.3600000000000012</v>
      </c>
      <c r="AQ59" s="6">
        <v>9.3600000000000012</v>
      </c>
      <c r="AR59" s="6">
        <v>9.3600000000000012</v>
      </c>
    </row>
    <row r="60" spans="1:44" x14ac:dyDescent="0.2">
      <c r="A60" s="1" t="s">
        <v>254</v>
      </c>
      <c r="B60" s="1" t="s">
        <v>255</v>
      </c>
      <c r="C60" s="1" t="s">
        <v>2</v>
      </c>
      <c r="D60" s="1" t="s">
        <v>3</v>
      </c>
      <c r="E60" s="1" t="s">
        <v>4</v>
      </c>
      <c r="F60" s="1" t="s">
        <v>131</v>
      </c>
      <c r="G60" s="2">
        <v>20</v>
      </c>
      <c r="H60" s="1"/>
      <c r="I60" s="1" t="s">
        <v>132</v>
      </c>
      <c r="J60" s="1" t="s">
        <v>7</v>
      </c>
      <c r="K60" s="1" t="s">
        <v>52</v>
      </c>
      <c r="L60" s="1" t="s">
        <v>9</v>
      </c>
      <c r="M60" s="1" t="s">
        <v>10</v>
      </c>
      <c r="N60" s="1" t="s">
        <v>11</v>
      </c>
      <c r="O60" s="1"/>
      <c r="P60" s="1" t="s">
        <v>69</v>
      </c>
      <c r="Q60" s="1"/>
      <c r="R60" s="1" t="s">
        <v>133</v>
      </c>
      <c r="S60" s="1" t="s">
        <v>134</v>
      </c>
      <c r="T60" s="1" t="s">
        <v>134</v>
      </c>
      <c r="U60" s="1" t="s">
        <v>135</v>
      </c>
      <c r="V60" s="1" t="s">
        <v>136</v>
      </c>
      <c r="W60" s="1" t="s">
        <v>137</v>
      </c>
      <c r="X60" s="3" t="s">
        <v>15</v>
      </c>
      <c r="Y60" s="1" t="s">
        <v>16</v>
      </c>
      <c r="Z60" s="1"/>
      <c r="AA60" s="1"/>
      <c r="AB60" s="1" t="s">
        <v>17</v>
      </c>
      <c r="AC60" s="1"/>
      <c r="AD60" s="1">
        <v>30</v>
      </c>
      <c r="AE60" s="1" t="s">
        <v>18</v>
      </c>
      <c r="AF60" s="1">
        <v>6</v>
      </c>
      <c r="AG60" s="1" t="s">
        <v>19</v>
      </c>
      <c r="AH60" s="1"/>
      <c r="AI60" s="1" t="s">
        <v>20</v>
      </c>
      <c r="AJ60" s="4">
        <v>2127</v>
      </c>
      <c r="AK60" s="5">
        <v>4922</v>
      </c>
      <c r="AL60" s="5">
        <v>4922</v>
      </c>
      <c r="AM60" s="1"/>
      <c r="AN60" s="6">
        <v>20</v>
      </c>
      <c r="AO60" s="6">
        <v>11.700000000000001</v>
      </c>
      <c r="AP60" s="6">
        <v>9.3600000000000012</v>
      </c>
      <c r="AQ60" s="6">
        <v>9.3600000000000012</v>
      </c>
      <c r="AR60" s="6">
        <v>9.3600000000000012</v>
      </c>
    </row>
    <row r="61" spans="1:44" x14ac:dyDescent="0.2">
      <c r="A61" s="1" t="s">
        <v>256</v>
      </c>
      <c r="B61" s="1" t="s">
        <v>257</v>
      </c>
      <c r="C61" s="1" t="s">
        <v>2</v>
      </c>
      <c r="D61" s="1" t="s">
        <v>3</v>
      </c>
      <c r="E61" s="1" t="s">
        <v>4</v>
      </c>
      <c r="F61" s="1" t="s">
        <v>131</v>
      </c>
      <c r="G61" s="2">
        <v>25</v>
      </c>
      <c r="H61" s="1"/>
      <c r="I61" s="1" t="s">
        <v>132</v>
      </c>
      <c r="J61" s="1" t="s">
        <v>7</v>
      </c>
      <c r="K61" s="1" t="s">
        <v>52</v>
      </c>
      <c r="L61" s="1" t="s">
        <v>9</v>
      </c>
      <c r="M61" s="1" t="s">
        <v>10</v>
      </c>
      <c r="N61" s="1" t="s">
        <v>11</v>
      </c>
      <c r="O61" s="1"/>
      <c r="P61" s="1" t="s">
        <v>69</v>
      </c>
      <c r="Q61" s="1"/>
      <c r="R61" s="1" t="s">
        <v>133</v>
      </c>
      <c r="S61" s="1" t="s">
        <v>134</v>
      </c>
      <c r="T61" s="1" t="s">
        <v>134</v>
      </c>
      <c r="U61" s="1" t="s">
        <v>135</v>
      </c>
      <c r="V61" s="1" t="s">
        <v>136</v>
      </c>
      <c r="W61" s="1" t="s">
        <v>137</v>
      </c>
      <c r="X61" s="3" t="s">
        <v>15</v>
      </c>
      <c r="Y61" s="1" t="s">
        <v>16</v>
      </c>
      <c r="Z61" s="1"/>
      <c r="AA61" s="1"/>
      <c r="AB61" s="1" t="s">
        <v>17</v>
      </c>
      <c r="AC61" s="1"/>
      <c r="AD61" s="1">
        <v>30</v>
      </c>
      <c r="AE61" s="1" t="s">
        <v>18</v>
      </c>
      <c r="AF61" s="1">
        <v>6</v>
      </c>
      <c r="AG61" s="1" t="s">
        <v>19</v>
      </c>
      <c r="AH61" s="1"/>
      <c r="AI61" s="1" t="s">
        <v>20</v>
      </c>
      <c r="AJ61" s="4">
        <v>2963</v>
      </c>
      <c r="AK61" s="5">
        <v>6387</v>
      </c>
      <c r="AL61" s="5">
        <v>6387</v>
      </c>
      <c r="AM61" s="1"/>
      <c r="AN61" s="6">
        <v>25</v>
      </c>
      <c r="AO61" s="6">
        <v>18.2</v>
      </c>
      <c r="AP61" s="6">
        <v>14.56</v>
      </c>
      <c r="AQ61" s="6">
        <v>14.56</v>
      </c>
      <c r="AR61" s="6">
        <v>14.56</v>
      </c>
    </row>
    <row r="62" spans="1:44" x14ac:dyDescent="0.2">
      <c r="A62" s="1" t="s">
        <v>258</v>
      </c>
      <c r="B62" s="1" t="s">
        <v>259</v>
      </c>
      <c r="C62" s="1" t="s">
        <v>2</v>
      </c>
      <c r="D62" s="1" t="s">
        <v>3</v>
      </c>
      <c r="E62" s="1" t="s">
        <v>4</v>
      </c>
      <c r="F62" s="1" t="s">
        <v>131</v>
      </c>
      <c r="G62" s="2">
        <v>40</v>
      </c>
      <c r="H62" s="1"/>
      <c r="I62" s="1" t="s">
        <v>132</v>
      </c>
      <c r="J62" s="1" t="s">
        <v>7</v>
      </c>
      <c r="K62" s="1" t="s">
        <v>52</v>
      </c>
      <c r="L62" s="1" t="s">
        <v>9</v>
      </c>
      <c r="M62" s="1" t="s">
        <v>10</v>
      </c>
      <c r="N62" s="1" t="s">
        <v>11</v>
      </c>
      <c r="O62" s="1"/>
      <c r="P62" s="1" t="s">
        <v>69</v>
      </c>
      <c r="Q62" s="1"/>
      <c r="R62" s="1" t="s">
        <v>133</v>
      </c>
      <c r="S62" s="1" t="s">
        <v>134</v>
      </c>
      <c r="T62" s="1" t="s">
        <v>134</v>
      </c>
      <c r="U62" s="1" t="s">
        <v>135</v>
      </c>
      <c r="V62" s="1" t="s">
        <v>136</v>
      </c>
      <c r="W62" s="1" t="s">
        <v>137</v>
      </c>
      <c r="X62" s="3" t="s">
        <v>15</v>
      </c>
      <c r="Y62" s="1" t="s">
        <v>16</v>
      </c>
      <c r="Z62" s="1"/>
      <c r="AA62" s="1"/>
      <c r="AB62" s="1" t="s">
        <v>17</v>
      </c>
      <c r="AC62" s="1"/>
      <c r="AD62" s="1">
        <v>30</v>
      </c>
      <c r="AE62" s="1" t="s">
        <v>18</v>
      </c>
      <c r="AF62" s="1">
        <v>6</v>
      </c>
      <c r="AG62" s="1" t="s">
        <v>19</v>
      </c>
      <c r="AH62" s="1"/>
      <c r="AI62" s="1" t="s">
        <v>20</v>
      </c>
      <c r="AJ62" s="4">
        <v>5060</v>
      </c>
      <c r="AK62" s="5">
        <v>11166</v>
      </c>
      <c r="AL62" s="5">
        <v>11166</v>
      </c>
      <c r="AM62" s="1"/>
      <c r="AN62" s="6">
        <v>40</v>
      </c>
      <c r="AO62" s="6">
        <v>32.5</v>
      </c>
      <c r="AP62" s="6">
        <v>26</v>
      </c>
      <c r="AQ62" s="6">
        <v>26</v>
      </c>
      <c r="AR62" s="6">
        <v>26</v>
      </c>
    </row>
    <row r="63" spans="1:44" x14ac:dyDescent="0.2">
      <c r="A63" s="1" t="s">
        <v>260</v>
      </c>
      <c r="B63" s="1" t="s">
        <v>261</v>
      </c>
      <c r="C63" s="1" t="s">
        <v>2</v>
      </c>
      <c r="D63" s="1" t="s">
        <v>3</v>
      </c>
      <c r="E63" s="1" t="s">
        <v>4</v>
      </c>
      <c r="F63" s="1" t="s">
        <v>131</v>
      </c>
      <c r="G63" s="2">
        <v>50</v>
      </c>
      <c r="H63" s="1"/>
      <c r="I63" s="1" t="s">
        <v>132</v>
      </c>
      <c r="J63" s="1" t="s">
        <v>7</v>
      </c>
      <c r="K63" s="1" t="s">
        <v>52</v>
      </c>
      <c r="L63" s="1" t="s">
        <v>9</v>
      </c>
      <c r="M63" s="1" t="s">
        <v>10</v>
      </c>
      <c r="N63" s="1" t="s">
        <v>11</v>
      </c>
      <c r="O63" s="1"/>
      <c r="P63" s="1" t="s">
        <v>69</v>
      </c>
      <c r="Q63" s="1"/>
      <c r="R63" s="1" t="s">
        <v>133</v>
      </c>
      <c r="S63" s="1" t="s">
        <v>134</v>
      </c>
      <c r="T63" s="1" t="s">
        <v>134</v>
      </c>
      <c r="U63" s="1" t="s">
        <v>135</v>
      </c>
      <c r="V63" s="1" t="s">
        <v>136</v>
      </c>
      <c r="W63" s="1" t="s">
        <v>137</v>
      </c>
      <c r="X63" s="3" t="s">
        <v>15</v>
      </c>
      <c r="Y63" s="1" t="s">
        <v>16</v>
      </c>
      <c r="Z63" s="1"/>
      <c r="AA63" s="1"/>
      <c r="AB63" s="1" t="s">
        <v>17</v>
      </c>
      <c r="AC63" s="1"/>
      <c r="AD63" s="1">
        <v>30</v>
      </c>
      <c r="AE63" s="1" t="s">
        <v>18</v>
      </c>
      <c r="AF63" s="1">
        <v>6</v>
      </c>
      <c r="AG63" s="1" t="s">
        <v>19</v>
      </c>
      <c r="AH63" s="1"/>
      <c r="AI63" s="1" t="s">
        <v>20</v>
      </c>
      <c r="AJ63" s="4">
        <v>8107</v>
      </c>
      <c r="AK63" s="5">
        <v>16850</v>
      </c>
      <c r="AL63" s="5">
        <v>16850</v>
      </c>
      <c r="AM63" s="1"/>
      <c r="AN63" s="6">
        <v>50</v>
      </c>
      <c r="AO63" s="6">
        <v>84.5</v>
      </c>
      <c r="AP63" s="6">
        <v>67.600000000000009</v>
      </c>
      <c r="AQ63" s="6">
        <v>67.600000000000009</v>
      </c>
      <c r="AR63" s="6">
        <v>67.600000000000009</v>
      </c>
    </row>
    <row r="64" spans="1:44" x14ac:dyDescent="0.2">
      <c r="A64" s="1" t="s">
        <v>262</v>
      </c>
      <c r="B64" s="1" t="s">
        <v>263</v>
      </c>
      <c r="C64" s="1" t="s">
        <v>2</v>
      </c>
      <c r="D64" s="1" t="s">
        <v>3</v>
      </c>
      <c r="E64" s="1" t="s">
        <v>4</v>
      </c>
      <c r="F64" s="1" t="s">
        <v>131</v>
      </c>
      <c r="G64" s="2">
        <v>65</v>
      </c>
      <c r="H64" s="1"/>
      <c r="I64" s="1" t="s">
        <v>132</v>
      </c>
      <c r="J64" s="1" t="s">
        <v>7</v>
      </c>
      <c r="K64" s="1" t="s">
        <v>52</v>
      </c>
      <c r="L64" s="1" t="s">
        <v>9</v>
      </c>
      <c r="M64" s="1" t="s">
        <v>10</v>
      </c>
      <c r="N64" s="1" t="s">
        <v>11</v>
      </c>
      <c r="O64" s="1"/>
      <c r="P64" s="1" t="s">
        <v>69</v>
      </c>
      <c r="Q64" s="1"/>
      <c r="R64" s="1" t="s">
        <v>133</v>
      </c>
      <c r="S64" s="1" t="s">
        <v>134</v>
      </c>
      <c r="T64" s="1" t="s">
        <v>134</v>
      </c>
      <c r="U64" s="1" t="s">
        <v>135</v>
      </c>
      <c r="V64" s="1" t="s">
        <v>136</v>
      </c>
      <c r="W64" s="1" t="s">
        <v>137</v>
      </c>
      <c r="X64" s="3" t="s">
        <v>15</v>
      </c>
      <c r="Y64" s="1" t="s">
        <v>16</v>
      </c>
      <c r="Z64" s="1"/>
      <c r="AA64" s="1"/>
      <c r="AB64" s="1" t="s">
        <v>17</v>
      </c>
      <c r="AC64" s="1"/>
      <c r="AD64" s="1">
        <v>30</v>
      </c>
      <c r="AE64" s="1" t="s">
        <v>18</v>
      </c>
      <c r="AF64" s="1">
        <v>6</v>
      </c>
      <c r="AG64" s="1" t="s">
        <v>19</v>
      </c>
      <c r="AH64" s="1"/>
      <c r="AI64" s="1" t="s">
        <v>20</v>
      </c>
      <c r="AJ64" s="4">
        <v>12892</v>
      </c>
      <c r="AK64" s="5">
        <v>26800</v>
      </c>
      <c r="AL64" s="5">
        <v>26800</v>
      </c>
      <c r="AM64" s="1"/>
      <c r="AN64" s="6">
        <v>65</v>
      </c>
      <c r="AO64" s="6">
        <v>117</v>
      </c>
      <c r="AP64" s="6">
        <v>93.600000000000009</v>
      </c>
      <c r="AQ64" s="6">
        <v>93.600000000000009</v>
      </c>
      <c r="AR64" s="6">
        <v>93.600000000000009</v>
      </c>
    </row>
    <row r="65" spans="1:44" x14ac:dyDescent="0.2">
      <c r="A65" s="1" t="s">
        <v>264</v>
      </c>
      <c r="B65" s="1" t="s">
        <v>265</v>
      </c>
      <c r="C65" s="1" t="s">
        <v>2</v>
      </c>
      <c r="D65" s="1" t="s">
        <v>3</v>
      </c>
      <c r="E65" s="1" t="s">
        <v>4</v>
      </c>
      <c r="F65" s="1" t="s">
        <v>131</v>
      </c>
      <c r="G65" s="2">
        <v>80</v>
      </c>
      <c r="H65" s="1"/>
      <c r="I65" s="1" t="s">
        <v>132</v>
      </c>
      <c r="J65" s="1" t="s">
        <v>7</v>
      </c>
      <c r="K65" s="1" t="s">
        <v>52</v>
      </c>
      <c r="L65" s="1" t="s">
        <v>9</v>
      </c>
      <c r="M65" s="1" t="s">
        <v>10</v>
      </c>
      <c r="N65" s="1" t="s">
        <v>11</v>
      </c>
      <c r="O65" s="1"/>
      <c r="P65" s="1" t="s">
        <v>69</v>
      </c>
      <c r="Q65" s="1"/>
      <c r="R65" s="1" t="s">
        <v>133</v>
      </c>
      <c r="S65" s="1" t="s">
        <v>134</v>
      </c>
      <c r="T65" s="1" t="s">
        <v>134</v>
      </c>
      <c r="U65" s="1" t="s">
        <v>135</v>
      </c>
      <c r="V65" s="1" t="s">
        <v>136</v>
      </c>
      <c r="W65" s="1" t="s">
        <v>137</v>
      </c>
      <c r="X65" s="3" t="s">
        <v>15</v>
      </c>
      <c r="Y65" s="1" t="s">
        <v>16</v>
      </c>
      <c r="Z65" s="1"/>
      <c r="AA65" s="1"/>
      <c r="AB65" s="1" t="s">
        <v>17</v>
      </c>
      <c r="AC65" s="1"/>
      <c r="AD65" s="1">
        <v>30</v>
      </c>
      <c r="AE65" s="1" t="s">
        <v>18</v>
      </c>
      <c r="AF65" s="1">
        <v>6</v>
      </c>
      <c r="AG65" s="1" t="s">
        <v>19</v>
      </c>
      <c r="AH65" s="1"/>
      <c r="AI65" s="1" t="s">
        <v>20</v>
      </c>
      <c r="AJ65" s="4">
        <v>17550</v>
      </c>
      <c r="AK65" s="5">
        <v>36550</v>
      </c>
      <c r="AL65" s="5">
        <v>36550</v>
      </c>
      <c r="AM65" s="1"/>
      <c r="AN65" s="6">
        <v>80</v>
      </c>
      <c r="AO65" s="6">
        <v>195</v>
      </c>
      <c r="AP65" s="6">
        <v>156</v>
      </c>
      <c r="AQ65" s="6">
        <v>156</v>
      </c>
      <c r="AR65" s="6">
        <v>156</v>
      </c>
    </row>
    <row r="66" spans="1:44" x14ac:dyDescent="0.2">
      <c r="A66" s="1" t="s">
        <v>266</v>
      </c>
      <c r="B66" s="1" t="s">
        <v>267</v>
      </c>
      <c r="C66" s="1" t="s">
        <v>2</v>
      </c>
      <c r="D66" s="1" t="s">
        <v>3</v>
      </c>
      <c r="E66" s="1" t="s">
        <v>4</v>
      </c>
      <c r="F66" s="1" t="s">
        <v>131</v>
      </c>
      <c r="G66" s="2">
        <v>100</v>
      </c>
      <c r="H66" s="1"/>
      <c r="I66" s="1" t="s">
        <v>132</v>
      </c>
      <c r="J66" s="1" t="s">
        <v>7</v>
      </c>
      <c r="K66" s="1" t="s">
        <v>52</v>
      </c>
      <c r="L66" s="1" t="s">
        <v>9</v>
      </c>
      <c r="M66" s="1" t="s">
        <v>10</v>
      </c>
      <c r="N66" s="1" t="s">
        <v>11</v>
      </c>
      <c r="O66" s="1"/>
      <c r="P66" s="1" t="s">
        <v>69</v>
      </c>
      <c r="Q66" s="1"/>
      <c r="R66" s="1" t="s">
        <v>133</v>
      </c>
      <c r="S66" s="1" t="s">
        <v>134</v>
      </c>
      <c r="T66" s="1" t="s">
        <v>134</v>
      </c>
      <c r="U66" s="1" t="s">
        <v>135</v>
      </c>
      <c r="V66" s="1" t="s">
        <v>136</v>
      </c>
      <c r="W66" s="1" t="s">
        <v>137</v>
      </c>
      <c r="X66" s="3" t="s">
        <v>15</v>
      </c>
      <c r="Y66" s="1" t="s">
        <v>16</v>
      </c>
      <c r="Z66" s="1"/>
      <c r="AA66" s="1"/>
      <c r="AB66" s="1" t="s">
        <v>17</v>
      </c>
      <c r="AC66" s="1"/>
      <c r="AD66" s="1">
        <v>30</v>
      </c>
      <c r="AE66" s="1" t="s">
        <v>18</v>
      </c>
      <c r="AF66" s="1">
        <v>6</v>
      </c>
      <c r="AG66" s="1" t="s">
        <v>19</v>
      </c>
      <c r="AH66" s="1"/>
      <c r="AI66" s="1" t="s">
        <v>20</v>
      </c>
      <c r="AJ66" s="4">
        <v>28356</v>
      </c>
      <c r="AK66" s="5">
        <v>59023</v>
      </c>
      <c r="AL66" s="5">
        <v>59023</v>
      </c>
      <c r="AM66" s="1"/>
      <c r="AN66" s="6">
        <v>100</v>
      </c>
      <c r="AO66" s="6">
        <v>214.5</v>
      </c>
      <c r="AP66" s="6">
        <v>171.60000000000002</v>
      </c>
      <c r="AQ66" s="6">
        <v>171.60000000000002</v>
      </c>
      <c r="AR66" s="6">
        <v>171.60000000000002</v>
      </c>
    </row>
    <row r="67" spans="1:44" x14ac:dyDescent="0.2">
      <c r="A67" s="1" t="s">
        <v>268</v>
      </c>
      <c r="B67" s="1" t="s">
        <v>269</v>
      </c>
      <c r="C67" s="1" t="s">
        <v>2</v>
      </c>
      <c r="D67" s="1" t="s">
        <v>3</v>
      </c>
      <c r="E67" s="1" t="s">
        <v>4</v>
      </c>
      <c r="F67" s="1" t="s">
        <v>131</v>
      </c>
      <c r="G67" s="2">
        <v>150</v>
      </c>
      <c r="H67" s="1"/>
      <c r="I67" s="1" t="s">
        <v>132</v>
      </c>
      <c r="J67" s="1" t="s">
        <v>7</v>
      </c>
      <c r="K67" s="1" t="s">
        <v>52</v>
      </c>
      <c r="L67" s="1" t="s">
        <v>9</v>
      </c>
      <c r="M67" s="1" t="s">
        <v>10</v>
      </c>
      <c r="N67" s="1" t="s">
        <v>11</v>
      </c>
      <c r="O67" s="1"/>
      <c r="P67" s="1" t="s">
        <v>69</v>
      </c>
      <c r="Q67" s="1"/>
      <c r="R67" s="1" t="s">
        <v>133</v>
      </c>
      <c r="S67" s="1" t="s">
        <v>134</v>
      </c>
      <c r="T67" s="1" t="s">
        <v>134</v>
      </c>
      <c r="U67" s="1" t="s">
        <v>135</v>
      </c>
      <c r="V67" s="1" t="s">
        <v>136</v>
      </c>
      <c r="W67" s="1" t="s">
        <v>137</v>
      </c>
      <c r="X67" s="3" t="s">
        <v>15</v>
      </c>
      <c r="Y67" s="1" t="s">
        <v>16</v>
      </c>
      <c r="Z67" s="1"/>
      <c r="AA67" s="1"/>
      <c r="AB67" s="1" t="s">
        <v>17</v>
      </c>
      <c r="AC67" s="1"/>
      <c r="AD67" s="1">
        <v>30</v>
      </c>
      <c r="AE67" s="1" t="s">
        <v>18</v>
      </c>
      <c r="AF67" s="1">
        <v>6</v>
      </c>
      <c r="AG67" s="1" t="s">
        <v>19</v>
      </c>
      <c r="AH67" s="1"/>
      <c r="AI67" s="1" t="s">
        <v>20</v>
      </c>
      <c r="AJ67" s="4">
        <v>68758</v>
      </c>
      <c r="AK67" s="5">
        <v>143126</v>
      </c>
      <c r="AL67" s="5">
        <v>143126</v>
      </c>
      <c r="AM67" s="1"/>
      <c r="AN67" s="6">
        <v>150</v>
      </c>
      <c r="AO67" s="6">
        <v>325</v>
      </c>
      <c r="AP67" s="6">
        <v>260</v>
      </c>
      <c r="AQ67" s="6">
        <v>260</v>
      </c>
      <c r="AR67" s="6">
        <v>260</v>
      </c>
    </row>
    <row r="68" spans="1:44" x14ac:dyDescent="0.2">
      <c r="A68" s="1" t="s">
        <v>270</v>
      </c>
      <c r="B68" s="1" t="s">
        <v>271</v>
      </c>
      <c r="C68" s="1" t="s">
        <v>2</v>
      </c>
      <c r="D68" s="1" t="s">
        <v>3</v>
      </c>
      <c r="E68" s="1" t="s">
        <v>4</v>
      </c>
      <c r="F68" s="1" t="s">
        <v>131</v>
      </c>
      <c r="G68" s="2">
        <v>200</v>
      </c>
      <c r="H68" s="1"/>
      <c r="I68" s="1" t="s">
        <v>132</v>
      </c>
      <c r="J68" s="1" t="s">
        <v>7</v>
      </c>
      <c r="K68" s="1" t="s">
        <v>52</v>
      </c>
      <c r="L68" s="1" t="s">
        <v>9</v>
      </c>
      <c r="M68" s="1" t="s">
        <v>10</v>
      </c>
      <c r="N68" s="1" t="s">
        <v>11</v>
      </c>
      <c r="O68" s="1"/>
      <c r="P68" s="1" t="s">
        <v>69</v>
      </c>
      <c r="Q68" s="1"/>
      <c r="R68" s="1" t="s">
        <v>133</v>
      </c>
      <c r="S68" s="1" t="s">
        <v>134</v>
      </c>
      <c r="T68" s="1" t="s">
        <v>134</v>
      </c>
      <c r="U68" s="1" t="s">
        <v>135</v>
      </c>
      <c r="V68" s="1" t="s">
        <v>136</v>
      </c>
      <c r="W68" s="1" t="s">
        <v>137</v>
      </c>
      <c r="X68" s="3" t="s">
        <v>15</v>
      </c>
      <c r="Y68" s="1" t="s">
        <v>16</v>
      </c>
      <c r="Z68" s="1"/>
      <c r="AA68" s="1"/>
      <c r="AB68" s="1" t="s">
        <v>17</v>
      </c>
      <c r="AC68" s="1"/>
      <c r="AD68" s="1">
        <v>30</v>
      </c>
      <c r="AE68" s="1" t="s">
        <v>18</v>
      </c>
      <c r="AF68" s="1">
        <v>6</v>
      </c>
      <c r="AG68" s="1" t="s">
        <v>19</v>
      </c>
      <c r="AH68" s="1"/>
      <c r="AI68" s="1" t="s">
        <v>20</v>
      </c>
      <c r="AJ68" s="4">
        <v>151720</v>
      </c>
      <c r="AK68" s="5">
        <v>315332</v>
      </c>
      <c r="AL68" s="5">
        <v>315332</v>
      </c>
      <c r="AM68" s="1"/>
      <c r="AN68" s="6">
        <v>200</v>
      </c>
      <c r="AO68" s="6">
        <v>845</v>
      </c>
      <c r="AP68" s="6">
        <v>676</v>
      </c>
      <c r="AQ68" s="6">
        <v>676</v>
      </c>
      <c r="AR68" s="6">
        <v>676</v>
      </c>
    </row>
    <row r="69" spans="1:44" x14ac:dyDescent="0.2">
      <c r="A69" s="1" t="s">
        <v>272</v>
      </c>
      <c r="B69" s="1" t="s">
        <v>273</v>
      </c>
      <c r="C69" s="1" t="s">
        <v>2</v>
      </c>
      <c r="D69" s="1" t="s">
        <v>3</v>
      </c>
      <c r="E69" s="1" t="s">
        <v>4</v>
      </c>
      <c r="F69" s="1" t="s">
        <v>131</v>
      </c>
      <c r="G69" s="2">
        <v>20</v>
      </c>
      <c r="H69" s="1"/>
      <c r="I69" s="1" t="s">
        <v>181</v>
      </c>
      <c r="J69" s="1" t="s">
        <v>7</v>
      </c>
      <c r="K69" s="1" t="s">
        <v>32</v>
      </c>
      <c r="L69" s="1" t="s">
        <v>9</v>
      </c>
      <c r="M69" s="1" t="s">
        <v>10</v>
      </c>
      <c r="N69" s="1" t="s">
        <v>11</v>
      </c>
      <c r="O69" s="1"/>
      <c r="P69" s="1" t="s">
        <v>69</v>
      </c>
      <c r="Q69" s="1"/>
      <c r="R69" s="1" t="s">
        <v>133</v>
      </c>
      <c r="S69" s="1" t="s">
        <v>134</v>
      </c>
      <c r="T69" s="1" t="s">
        <v>134</v>
      </c>
      <c r="U69" s="1" t="s">
        <v>135</v>
      </c>
      <c r="V69" s="1" t="s">
        <v>136</v>
      </c>
      <c r="W69" s="1" t="s">
        <v>137</v>
      </c>
      <c r="X69" s="3" t="s">
        <v>15</v>
      </c>
      <c r="Y69" s="1" t="s">
        <v>16</v>
      </c>
      <c r="Z69" s="1"/>
      <c r="AA69" s="1"/>
      <c r="AB69" s="1" t="s">
        <v>17</v>
      </c>
      <c r="AC69" s="1"/>
      <c r="AD69" s="1">
        <v>30</v>
      </c>
      <c r="AE69" s="1" t="s">
        <v>18</v>
      </c>
      <c r="AF69" s="1">
        <v>6</v>
      </c>
      <c r="AG69" s="1" t="s">
        <v>19</v>
      </c>
      <c r="AH69" s="1"/>
      <c r="AI69" s="1" t="s">
        <v>20</v>
      </c>
      <c r="AJ69" s="4">
        <v>2979</v>
      </c>
      <c r="AK69" s="5">
        <v>6480</v>
      </c>
      <c r="AL69" s="5">
        <v>6480</v>
      </c>
      <c r="AM69" s="1"/>
      <c r="AN69" s="6">
        <v>20</v>
      </c>
      <c r="AO69" s="6">
        <v>6.5</v>
      </c>
      <c r="AP69" s="6">
        <v>5.2</v>
      </c>
      <c r="AQ69" s="6">
        <v>5.2</v>
      </c>
      <c r="AR69" s="6">
        <v>5.2</v>
      </c>
    </row>
    <row r="70" spans="1:44" x14ac:dyDescent="0.2">
      <c r="A70" s="1" t="s">
        <v>274</v>
      </c>
      <c r="B70" s="1" t="s">
        <v>275</v>
      </c>
      <c r="C70" s="1" t="s">
        <v>2</v>
      </c>
      <c r="D70" s="1" t="s">
        <v>3</v>
      </c>
      <c r="E70" s="1" t="s">
        <v>4</v>
      </c>
      <c r="F70" s="1" t="s">
        <v>131</v>
      </c>
      <c r="G70" s="2">
        <v>25</v>
      </c>
      <c r="H70" s="1"/>
      <c r="I70" s="1" t="s">
        <v>181</v>
      </c>
      <c r="J70" s="1" t="s">
        <v>7</v>
      </c>
      <c r="K70" s="1" t="s">
        <v>32</v>
      </c>
      <c r="L70" s="1" t="s">
        <v>9</v>
      </c>
      <c r="M70" s="1" t="s">
        <v>10</v>
      </c>
      <c r="N70" s="1" t="s">
        <v>11</v>
      </c>
      <c r="O70" s="1"/>
      <c r="P70" s="1" t="s">
        <v>69</v>
      </c>
      <c r="Q70" s="1"/>
      <c r="R70" s="1" t="s">
        <v>133</v>
      </c>
      <c r="S70" s="1" t="s">
        <v>134</v>
      </c>
      <c r="T70" s="1" t="s">
        <v>134</v>
      </c>
      <c r="U70" s="1" t="s">
        <v>135</v>
      </c>
      <c r="V70" s="1" t="s">
        <v>136</v>
      </c>
      <c r="W70" s="1" t="s">
        <v>137</v>
      </c>
      <c r="X70" s="3" t="s">
        <v>15</v>
      </c>
      <c r="Y70" s="1" t="s">
        <v>16</v>
      </c>
      <c r="Z70" s="1"/>
      <c r="AA70" s="1"/>
      <c r="AB70" s="1" t="s">
        <v>17</v>
      </c>
      <c r="AC70" s="1"/>
      <c r="AD70" s="1">
        <v>30</v>
      </c>
      <c r="AE70" s="1" t="s">
        <v>18</v>
      </c>
      <c r="AF70" s="1">
        <v>6</v>
      </c>
      <c r="AG70" s="1" t="s">
        <v>19</v>
      </c>
      <c r="AH70" s="1"/>
      <c r="AI70" s="1" t="s">
        <v>20</v>
      </c>
      <c r="AJ70" s="4">
        <v>3916</v>
      </c>
      <c r="AK70" s="5">
        <v>10139.5</v>
      </c>
      <c r="AL70" s="5">
        <v>10139.5</v>
      </c>
      <c r="AM70" s="1"/>
      <c r="AN70" s="6">
        <v>25</v>
      </c>
      <c r="AO70" s="6">
        <v>15.600000000000001</v>
      </c>
      <c r="AP70" s="6">
        <v>12.480000000000002</v>
      </c>
      <c r="AQ70" s="6">
        <v>12.480000000000002</v>
      </c>
      <c r="AR70" s="6">
        <v>12.480000000000002</v>
      </c>
    </row>
    <row r="71" spans="1:44" x14ac:dyDescent="0.2">
      <c r="A71" s="1" t="s">
        <v>276</v>
      </c>
      <c r="B71" s="1" t="s">
        <v>277</v>
      </c>
      <c r="C71" s="1" t="s">
        <v>2</v>
      </c>
      <c r="D71" s="1" t="s">
        <v>3</v>
      </c>
      <c r="E71" s="1" t="s">
        <v>4</v>
      </c>
      <c r="F71" s="1" t="s">
        <v>131</v>
      </c>
      <c r="G71" s="2">
        <v>40</v>
      </c>
      <c r="H71" s="1"/>
      <c r="I71" s="1" t="s">
        <v>181</v>
      </c>
      <c r="J71" s="1" t="s">
        <v>7</v>
      </c>
      <c r="K71" s="1" t="s">
        <v>32</v>
      </c>
      <c r="L71" s="1" t="s">
        <v>9</v>
      </c>
      <c r="M71" s="1" t="s">
        <v>10</v>
      </c>
      <c r="N71" s="1" t="s">
        <v>11</v>
      </c>
      <c r="O71" s="1"/>
      <c r="P71" s="1" t="s">
        <v>69</v>
      </c>
      <c r="Q71" s="1"/>
      <c r="R71" s="1" t="s">
        <v>133</v>
      </c>
      <c r="S71" s="1" t="s">
        <v>134</v>
      </c>
      <c r="T71" s="1" t="s">
        <v>134</v>
      </c>
      <c r="U71" s="1" t="s">
        <v>135</v>
      </c>
      <c r="V71" s="1" t="s">
        <v>136</v>
      </c>
      <c r="W71" s="1" t="s">
        <v>137</v>
      </c>
      <c r="X71" s="3" t="s">
        <v>15</v>
      </c>
      <c r="Y71" s="1" t="s">
        <v>16</v>
      </c>
      <c r="Z71" s="1"/>
      <c r="AA71" s="1"/>
      <c r="AB71" s="1" t="s">
        <v>17</v>
      </c>
      <c r="AC71" s="1"/>
      <c r="AD71" s="1">
        <v>30</v>
      </c>
      <c r="AE71" s="1" t="s">
        <v>18</v>
      </c>
      <c r="AF71" s="1">
        <v>6</v>
      </c>
      <c r="AG71" s="1" t="s">
        <v>19</v>
      </c>
      <c r="AH71" s="1"/>
      <c r="AI71" s="1" t="s">
        <v>20</v>
      </c>
      <c r="AJ71" s="4">
        <v>5908</v>
      </c>
      <c r="AK71" s="5">
        <v>16650</v>
      </c>
      <c r="AL71" s="5">
        <v>16650</v>
      </c>
      <c r="AM71" s="1"/>
      <c r="AN71" s="6">
        <v>40</v>
      </c>
      <c r="AO71" s="6">
        <v>23.400000000000002</v>
      </c>
      <c r="AP71" s="6">
        <v>18.720000000000002</v>
      </c>
      <c r="AQ71" s="6">
        <v>18.720000000000002</v>
      </c>
      <c r="AR71" s="6">
        <v>18.720000000000002</v>
      </c>
    </row>
    <row r="72" spans="1:44" x14ac:dyDescent="0.2">
      <c r="A72" s="1" t="s">
        <v>278</v>
      </c>
      <c r="B72" s="1" t="s">
        <v>279</v>
      </c>
      <c r="C72" s="1" t="s">
        <v>2</v>
      </c>
      <c r="D72" s="1" t="s">
        <v>3</v>
      </c>
      <c r="E72" s="1" t="s">
        <v>4</v>
      </c>
      <c r="F72" s="1" t="s">
        <v>131</v>
      </c>
      <c r="G72" s="2">
        <v>50</v>
      </c>
      <c r="H72" s="1"/>
      <c r="I72" s="1" t="s">
        <v>181</v>
      </c>
      <c r="J72" s="1" t="s">
        <v>7</v>
      </c>
      <c r="K72" s="1" t="s">
        <v>32</v>
      </c>
      <c r="L72" s="1" t="s">
        <v>9</v>
      </c>
      <c r="M72" s="1" t="s">
        <v>10</v>
      </c>
      <c r="N72" s="1" t="s">
        <v>11</v>
      </c>
      <c r="O72" s="1"/>
      <c r="P72" s="1" t="s">
        <v>69</v>
      </c>
      <c r="Q72" s="1"/>
      <c r="R72" s="1" t="s">
        <v>133</v>
      </c>
      <c r="S72" s="1" t="s">
        <v>134</v>
      </c>
      <c r="T72" s="1" t="s">
        <v>134</v>
      </c>
      <c r="U72" s="1" t="s">
        <v>135</v>
      </c>
      <c r="V72" s="1" t="s">
        <v>136</v>
      </c>
      <c r="W72" s="1" t="s">
        <v>137</v>
      </c>
      <c r="X72" s="3" t="s">
        <v>15</v>
      </c>
      <c r="Y72" s="1" t="s">
        <v>16</v>
      </c>
      <c r="Z72" s="1"/>
      <c r="AA72" s="1"/>
      <c r="AB72" s="1" t="s">
        <v>17</v>
      </c>
      <c r="AC72" s="1"/>
      <c r="AD72" s="1">
        <v>30</v>
      </c>
      <c r="AE72" s="1" t="s">
        <v>18</v>
      </c>
      <c r="AF72" s="1">
        <v>6</v>
      </c>
      <c r="AG72" s="1" t="s">
        <v>19</v>
      </c>
      <c r="AH72" s="1"/>
      <c r="AI72" s="1" t="s">
        <v>20</v>
      </c>
      <c r="AJ72" s="4">
        <v>9128</v>
      </c>
      <c r="AK72" s="5">
        <v>23420.5</v>
      </c>
      <c r="AL72" s="5">
        <v>23420.5</v>
      </c>
      <c r="AM72" s="1"/>
      <c r="AN72" s="6">
        <v>50</v>
      </c>
      <c r="AO72" s="6">
        <v>49.4</v>
      </c>
      <c r="AP72" s="6">
        <v>39.520000000000003</v>
      </c>
      <c r="AQ72" s="6">
        <v>39.520000000000003</v>
      </c>
      <c r="AR72" s="6">
        <v>39.520000000000003</v>
      </c>
    </row>
    <row r="73" spans="1:44" x14ac:dyDescent="0.2">
      <c r="A73" s="1" t="s">
        <v>280</v>
      </c>
      <c r="B73" s="1" t="s">
        <v>281</v>
      </c>
      <c r="C73" s="1" t="s">
        <v>2</v>
      </c>
      <c r="D73" s="1" t="s">
        <v>3</v>
      </c>
      <c r="E73" s="1" t="s">
        <v>4</v>
      </c>
      <c r="F73" s="1" t="s">
        <v>131</v>
      </c>
      <c r="G73" s="2">
        <v>65</v>
      </c>
      <c r="H73" s="1"/>
      <c r="I73" s="1" t="s">
        <v>181</v>
      </c>
      <c r="J73" s="1" t="s">
        <v>7</v>
      </c>
      <c r="K73" s="1" t="s">
        <v>32</v>
      </c>
      <c r="L73" s="1" t="s">
        <v>9</v>
      </c>
      <c r="M73" s="1" t="s">
        <v>10</v>
      </c>
      <c r="N73" s="1" t="s">
        <v>11</v>
      </c>
      <c r="O73" s="1"/>
      <c r="P73" s="1" t="s">
        <v>69</v>
      </c>
      <c r="Q73" s="1"/>
      <c r="R73" s="1" t="s">
        <v>133</v>
      </c>
      <c r="S73" s="1" t="s">
        <v>134</v>
      </c>
      <c r="T73" s="1" t="s">
        <v>134</v>
      </c>
      <c r="U73" s="1" t="s">
        <v>135</v>
      </c>
      <c r="V73" s="1" t="s">
        <v>136</v>
      </c>
      <c r="W73" s="1" t="s">
        <v>137</v>
      </c>
      <c r="X73" s="3" t="s">
        <v>15</v>
      </c>
      <c r="Y73" s="1" t="s">
        <v>16</v>
      </c>
      <c r="Z73" s="1"/>
      <c r="AA73" s="1"/>
      <c r="AB73" s="1" t="s">
        <v>17</v>
      </c>
      <c r="AC73" s="1"/>
      <c r="AD73" s="1">
        <v>30</v>
      </c>
      <c r="AE73" s="1" t="s">
        <v>18</v>
      </c>
      <c r="AF73" s="1">
        <v>6</v>
      </c>
      <c r="AG73" s="1" t="s">
        <v>19</v>
      </c>
      <c r="AH73" s="1"/>
      <c r="AI73" s="1" t="s">
        <v>20</v>
      </c>
      <c r="AJ73" s="4">
        <v>17084</v>
      </c>
      <c r="AK73" s="5">
        <v>38097</v>
      </c>
      <c r="AL73" s="5">
        <v>38097</v>
      </c>
      <c r="AM73" s="1"/>
      <c r="AN73" s="6">
        <v>65</v>
      </c>
      <c r="AO73" s="6">
        <v>62.400000000000006</v>
      </c>
      <c r="AP73" s="6">
        <v>49.920000000000009</v>
      </c>
      <c r="AQ73" s="6">
        <v>49.920000000000009</v>
      </c>
      <c r="AR73" s="6">
        <v>49.920000000000009</v>
      </c>
    </row>
    <row r="74" spans="1:44" x14ac:dyDescent="0.2">
      <c r="A74" s="1" t="s">
        <v>282</v>
      </c>
      <c r="B74" s="1" t="s">
        <v>283</v>
      </c>
      <c r="C74" s="1" t="s">
        <v>2</v>
      </c>
      <c r="D74" s="1" t="s">
        <v>3</v>
      </c>
      <c r="E74" s="1" t="s">
        <v>4</v>
      </c>
      <c r="F74" s="1" t="s">
        <v>131</v>
      </c>
      <c r="G74" s="2">
        <v>80</v>
      </c>
      <c r="H74" s="1"/>
      <c r="I74" s="1" t="s">
        <v>181</v>
      </c>
      <c r="J74" s="1" t="s">
        <v>7</v>
      </c>
      <c r="K74" s="1" t="s">
        <v>32</v>
      </c>
      <c r="L74" s="1" t="s">
        <v>9</v>
      </c>
      <c r="M74" s="1" t="s">
        <v>10</v>
      </c>
      <c r="N74" s="1" t="s">
        <v>11</v>
      </c>
      <c r="O74" s="1"/>
      <c r="P74" s="1" t="s">
        <v>69</v>
      </c>
      <c r="Q74" s="1"/>
      <c r="R74" s="1" t="s">
        <v>133</v>
      </c>
      <c r="S74" s="1" t="s">
        <v>134</v>
      </c>
      <c r="T74" s="1" t="s">
        <v>134</v>
      </c>
      <c r="U74" s="1" t="s">
        <v>135</v>
      </c>
      <c r="V74" s="1" t="s">
        <v>136</v>
      </c>
      <c r="W74" s="1" t="s">
        <v>137</v>
      </c>
      <c r="X74" s="3" t="s">
        <v>15</v>
      </c>
      <c r="Y74" s="1" t="s">
        <v>16</v>
      </c>
      <c r="Z74" s="1"/>
      <c r="AA74" s="1"/>
      <c r="AB74" s="1" t="s">
        <v>17</v>
      </c>
      <c r="AC74" s="1"/>
      <c r="AD74" s="1">
        <v>30</v>
      </c>
      <c r="AE74" s="1" t="s">
        <v>18</v>
      </c>
      <c r="AF74" s="1">
        <v>6</v>
      </c>
      <c r="AG74" s="1" t="s">
        <v>19</v>
      </c>
      <c r="AH74" s="1"/>
      <c r="AI74" s="1" t="s">
        <v>20</v>
      </c>
      <c r="AJ74" s="4">
        <v>20471</v>
      </c>
      <c r="AK74" s="5">
        <v>49269</v>
      </c>
      <c r="AL74" s="5">
        <v>49269</v>
      </c>
      <c r="AM74" s="1"/>
      <c r="AN74" s="6">
        <v>80</v>
      </c>
      <c r="AO74" s="6">
        <v>117</v>
      </c>
      <c r="AP74" s="6">
        <v>93.600000000000009</v>
      </c>
      <c r="AQ74" s="6">
        <v>93.600000000000009</v>
      </c>
      <c r="AR74" s="6">
        <v>93.600000000000009</v>
      </c>
    </row>
    <row r="75" spans="1:44" x14ac:dyDescent="0.2">
      <c r="A75" s="1" t="s">
        <v>284</v>
      </c>
      <c r="B75" s="1" t="s">
        <v>285</v>
      </c>
      <c r="C75" s="1" t="s">
        <v>2</v>
      </c>
      <c r="D75" s="1" t="s">
        <v>3</v>
      </c>
      <c r="E75" s="1" t="s">
        <v>4</v>
      </c>
      <c r="F75" s="1" t="s">
        <v>131</v>
      </c>
      <c r="G75" s="2">
        <v>100</v>
      </c>
      <c r="H75" s="1"/>
      <c r="I75" s="1" t="s">
        <v>181</v>
      </c>
      <c r="J75" s="1" t="s">
        <v>7</v>
      </c>
      <c r="K75" s="1" t="s">
        <v>32</v>
      </c>
      <c r="L75" s="1" t="s">
        <v>9</v>
      </c>
      <c r="M75" s="1" t="s">
        <v>10</v>
      </c>
      <c r="N75" s="1" t="s">
        <v>11</v>
      </c>
      <c r="O75" s="1"/>
      <c r="P75" s="1" t="s">
        <v>69</v>
      </c>
      <c r="Q75" s="1"/>
      <c r="R75" s="1" t="s">
        <v>133</v>
      </c>
      <c r="S75" s="1" t="s">
        <v>134</v>
      </c>
      <c r="T75" s="1" t="s">
        <v>134</v>
      </c>
      <c r="U75" s="1" t="s">
        <v>135</v>
      </c>
      <c r="V75" s="1" t="s">
        <v>136</v>
      </c>
      <c r="W75" s="1" t="s">
        <v>137</v>
      </c>
      <c r="X75" s="3" t="s">
        <v>15</v>
      </c>
      <c r="Y75" s="1" t="s">
        <v>16</v>
      </c>
      <c r="Z75" s="1"/>
      <c r="AA75" s="1"/>
      <c r="AB75" s="1" t="s">
        <v>17</v>
      </c>
      <c r="AC75" s="1"/>
      <c r="AD75" s="1">
        <v>30</v>
      </c>
      <c r="AE75" s="1" t="s">
        <v>18</v>
      </c>
      <c r="AF75" s="1">
        <v>6</v>
      </c>
      <c r="AG75" s="1" t="s">
        <v>19</v>
      </c>
      <c r="AH75" s="1"/>
      <c r="AI75" s="1" t="s">
        <v>20</v>
      </c>
      <c r="AJ75" s="4">
        <v>32045</v>
      </c>
      <c r="AK75" s="5">
        <v>74037.5</v>
      </c>
      <c r="AL75" s="5">
        <v>74037.5</v>
      </c>
      <c r="AM75" s="1"/>
      <c r="AN75" s="6">
        <v>100</v>
      </c>
      <c r="AO75" s="6">
        <v>188.5</v>
      </c>
      <c r="AP75" s="6">
        <v>150.80000000000001</v>
      </c>
      <c r="AQ75" s="6">
        <v>150.80000000000001</v>
      </c>
      <c r="AR75" s="6">
        <v>150.80000000000001</v>
      </c>
    </row>
    <row r="76" spans="1:44" x14ac:dyDescent="0.2">
      <c r="A76" s="1" t="s">
        <v>286</v>
      </c>
      <c r="B76" s="1" t="s">
        <v>287</v>
      </c>
      <c r="C76" s="1" t="s">
        <v>2</v>
      </c>
      <c r="D76" s="1" t="s">
        <v>3</v>
      </c>
      <c r="E76" s="1" t="s">
        <v>4</v>
      </c>
      <c r="F76" s="1" t="s">
        <v>131</v>
      </c>
      <c r="G76" s="2">
        <v>150</v>
      </c>
      <c r="H76" s="1"/>
      <c r="I76" s="1" t="s">
        <v>181</v>
      </c>
      <c r="J76" s="1" t="s">
        <v>7</v>
      </c>
      <c r="K76" s="1" t="s">
        <v>32</v>
      </c>
      <c r="L76" s="1" t="s">
        <v>9</v>
      </c>
      <c r="M76" s="1" t="s">
        <v>10</v>
      </c>
      <c r="N76" s="1" t="s">
        <v>11</v>
      </c>
      <c r="O76" s="1"/>
      <c r="P76" s="1" t="s">
        <v>69</v>
      </c>
      <c r="Q76" s="1"/>
      <c r="R76" s="1" t="s">
        <v>133</v>
      </c>
      <c r="S76" s="1" t="s">
        <v>134</v>
      </c>
      <c r="T76" s="1" t="s">
        <v>134</v>
      </c>
      <c r="U76" s="1" t="s">
        <v>135</v>
      </c>
      <c r="V76" s="1" t="s">
        <v>136</v>
      </c>
      <c r="W76" s="1" t="s">
        <v>137</v>
      </c>
      <c r="X76" s="3" t="s">
        <v>15</v>
      </c>
      <c r="Y76" s="1" t="s">
        <v>16</v>
      </c>
      <c r="Z76" s="1"/>
      <c r="AA76" s="1"/>
      <c r="AB76" s="1" t="s">
        <v>17</v>
      </c>
      <c r="AC76" s="1"/>
      <c r="AD76" s="1">
        <v>30</v>
      </c>
      <c r="AE76" s="1" t="s">
        <v>18</v>
      </c>
      <c r="AF76" s="1">
        <v>6</v>
      </c>
      <c r="AG76" s="1" t="s">
        <v>19</v>
      </c>
      <c r="AH76" s="1"/>
      <c r="AI76" s="1" t="s">
        <v>20</v>
      </c>
      <c r="AJ76" s="4">
        <v>50740</v>
      </c>
      <c r="AK76" s="5">
        <v>133323.5</v>
      </c>
      <c r="AL76" s="5">
        <v>133323.5</v>
      </c>
      <c r="AM76" s="1"/>
      <c r="AN76" s="6">
        <v>150</v>
      </c>
      <c r="AO76" s="6">
        <v>247</v>
      </c>
      <c r="AP76" s="6">
        <v>197.6</v>
      </c>
      <c r="AQ76" s="6">
        <v>197.6</v>
      </c>
      <c r="AR76" s="6">
        <v>197.6</v>
      </c>
    </row>
  </sheetData>
  <conditionalFormatting sqref="A1">
    <cfRule type="duplicateValues" dxfId="9" priority="5"/>
  </conditionalFormatting>
  <conditionalFormatting sqref="B1:B49">
    <cfRule type="duplicateValues" dxfId="8" priority="4"/>
  </conditionalFormatting>
  <conditionalFormatting sqref="B50:B58">
    <cfRule type="duplicateValues" dxfId="7" priority="2"/>
  </conditionalFormatting>
  <conditionalFormatting sqref="B59:B68">
    <cfRule type="duplicateValues" dxfId="6" priority="3"/>
  </conditionalFormatting>
  <conditionalFormatting sqref="B69:B76">
    <cfRule type="duplicateValues" dxfId="5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"/>
  <sheetViews>
    <sheetView workbookViewId="0">
      <selection activeCell="L4" sqref="L4"/>
    </sheetView>
  </sheetViews>
  <sheetFormatPr baseColWidth="10" defaultColWidth="8.83203125" defaultRowHeight="15" x14ac:dyDescent="0.2"/>
  <cols>
    <col min="24" max="24" width="13.5" bestFit="1" customWidth="1"/>
  </cols>
  <sheetData>
    <row r="1" spans="1:25" s="18" customFormat="1" ht="14" x14ac:dyDescent="0.2">
      <c r="A1" s="18" t="s">
        <v>288</v>
      </c>
      <c r="B1" s="18" t="s">
        <v>86</v>
      </c>
      <c r="C1" s="18" t="s">
        <v>87</v>
      </c>
      <c r="D1" s="18" t="s">
        <v>289</v>
      </c>
      <c r="E1" s="18" t="s">
        <v>290</v>
      </c>
      <c r="F1" s="18" t="s">
        <v>291</v>
      </c>
      <c r="G1" s="18" t="s">
        <v>292</v>
      </c>
      <c r="H1" s="18" t="s">
        <v>293</v>
      </c>
      <c r="I1" s="18" t="s">
        <v>294</v>
      </c>
      <c r="J1" s="18" t="s">
        <v>295</v>
      </c>
      <c r="K1" s="18" t="s">
        <v>296</v>
      </c>
      <c r="L1" s="18" t="s">
        <v>297</v>
      </c>
      <c r="M1" s="18" t="s">
        <v>298</v>
      </c>
      <c r="N1" s="18" t="s">
        <v>299</v>
      </c>
      <c r="O1" s="18" t="s">
        <v>300</v>
      </c>
      <c r="P1" s="18" t="s">
        <v>301</v>
      </c>
      <c r="Q1" s="18" t="s">
        <v>302</v>
      </c>
      <c r="R1" s="18" t="s">
        <v>119</v>
      </c>
      <c r="S1" s="19" t="s">
        <v>303</v>
      </c>
      <c r="T1" s="20" t="s">
        <v>304</v>
      </c>
      <c r="X1" s="18" t="s">
        <v>656</v>
      </c>
      <c r="Y1" s="18" t="s">
        <v>662</v>
      </c>
    </row>
    <row r="2" spans="1:25" s="1" customFormat="1" x14ac:dyDescent="0.2">
      <c r="A2" s="1" t="s">
        <v>522</v>
      </c>
      <c r="B2" s="1" t="s">
        <v>523</v>
      </c>
      <c r="C2" s="1" t="s">
        <v>524</v>
      </c>
      <c r="D2" s="21" t="s">
        <v>525</v>
      </c>
      <c r="E2" s="21" t="s">
        <v>526</v>
      </c>
      <c r="H2" s="21"/>
      <c r="J2" s="1" t="s">
        <v>527</v>
      </c>
      <c r="K2" s="21"/>
      <c r="L2" s="21" t="s">
        <v>528</v>
      </c>
      <c r="M2" s="21" t="s">
        <v>518</v>
      </c>
      <c r="N2" s="1" t="s">
        <v>529</v>
      </c>
      <c r="O2" s="1" t="s">
        <v>530</v>
      </c>
      <c r="P2" s="1" t="s">
        <v>531</v>
      </c>
      <c r="Q2" s="21"/>
      <c r="R2" s="21" t="s">
        <v>20</v>
      </c>
      <c r="S2" s="22">
        <v>13612.5</v>
      </c>
      <c r="T2" s="23" t="s">
        <v>33</v>
      </c>
      <c r="V2" s="18" t="s">
        <v>523</v>
      </c>
      <c r="W2" s="18" t="s">
        <v>522</v>
      </c>
      <c r="X2" s="1" t="s">
        <v>668</v>
      </c>
      <c r="Y2" s="34" t="s">
        <v>667</v>
      </c>
    </row>
    <row r="3" spans="1:25" s="1" customFormat="1" ht="14" x14ac:dyDescent="0.2">
      <c r="A3" s="1" t="s">
        <v>532</v>
      </c>
      <c r="B3" s="1" t="s">
        <v>533</v>
      </c>
      <c r="C3" s="1" t="s">
        <v>524</v>
      </c>
      <c r="D3" s="21" t="s">
        <v>525</v>
      </c>
      <c r="E3" s="21" t="s">
        <v>526</v>
      </c>
      <c r="H3" s="21"/>
      <c r="J3" s="1" t="s">
        <v>527</v>
      </c>
      <c r="K3" s="21"/>
      <c r="L3" s="21" t="s">
        <v>528</v>
      </c>
      <c r="M3" s="21" t="s">
        <v>518</v>
      </c>
      <c r="N3" s="1" t="s">
        <v>534</v>
      </c>
      <c r="O3" s="1" t="s">
        <v>535</v>
      </c>
      <c r="P3" s="1" t="s">
        <v>531</v>
      </c>
      <c r="Q3" s="21"/>
      <c r="R3" s="21" t="s">
        <v>20</v>
      </c>
      <c r="S3" s="22">
        <v>18727.5</v>
      </c>
      <c r="T3" s="23" t="s">
        <v>33</v>
      </c>
      <c r="V3" s="18" t="s">
        <v>533</v>
      </c>
      <c r="W3" s="18" t="s">
        <v>532</v>
      </c>
    </row>
  </sheetData>
  <conditionalFormatting sqref="A1:A3">
    <cfRule type="duplicateValues" dxfId="4" priority="1"/>
  </conditionalFormatting>
  <hyperlinks>
    <hyperlink ref="Y2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43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42" x14ac:dyDescent="0.2">
      <c r="A1" s="8" t="s">
        <v>85</v>
      </c>
      <c r="B1" s="9" t="s">
        <v>86</v>
      </c>
      <c r="C1" s="8" t="s">
        <v>87</v>
      </c>
      <c r="D1" s="8" t="s">
        <v>88</v>
      </c>
      <c r="E1" s="8" t="s">
        <v>89</v>
      </c>
      <c r="F1" s="8" t="s">
        <v>90</v>
      </c>
      <c r="G1" s="10" t="s">
        <v>91</v>
      </c>
      <c r="H1" s="10" t="s">
        <v>92</v>
      </c>
      <c r="I1" s="8" t="s">
        <v>93</v>
      </c>
      <c r="J1" s="8" t="s">
        <v>94</v>
      </c>
      <c r="K1" s="8" t="s">
        <v>95</v>
      </c>
      <c r="L1" s="8" t="s">
        <v>96</v>
      </c>
      <c r="M1" s="8" t="s">
        <v>97</v>
      </c>
      <c r="N1" s="8" t="s">
        <v>98</v>
      </c>
      <c r="O1" s="8" t="s">
        <v>99</v>
      </c>
      <c r="P1" s="8" t="s">
        <v>100</v>
      </c>
      <c r="Q1" s="11" t="s">
        <v>101</v>
      </c>
      <c r="R1" s="8" t="s">
        <v>102</v>
      </c>
      <c r="S1" s="12" t="s">
        <v>103</v>
      </c>
      <c r="T1" s="12" t="s">
        <v>104</v>
      </c>
      <c r="U1" s="12" t="s">
        <v>105</v>
      </c>
      <c r="V1" s="12" t="s">
        <v>106</v>
      </c>
      <c r="W1" s="12" t="s">
        <v>107</v>
      </c>
      <c r="X1" s="13" t="s">
        <v>108</v>
      </c>
      <c r="Y1" s="13" t="s">
        <v>109</v>
      </c>
      <c r="Z1" s="14" t="s">
        <v>110</v>
      </c>
      <c r="AA1" s="12" t="s">
        <v>111</v>
      </c>
      <c r="AB1" s="12" t="s">
        <v>112</v>
      </c>
      <c r="AC1" s="12" t="s">
        <v>113</v>
      </c>
      <c r="AD1" s="15" t="s">
        <v>114</v>
      </c>
      <c r="AE1" s="12" t="s">
        <v>115</v>
      </c>
      <c r="AF1" s="15" t="s">
        <v>116</v>
      </c>
      <c r="AG1" s="12" t="s">
        <v>117</v>
      </c>
      <c r="AH1" s="12" t="s">
        <v>118</v>
      </c>
      <c r="AI1" s="12" t="s">
        <v>119</v>
      </c>
      <c r="AJ1" s="16" t="s">
        <v>120</v>
      </c>
      <c r="AK1" s="7" t="s">
        <v>121</v>
      </c>
      <c r="AL1" s="7" t="s">
        <v>122</v>
      </c>
      <c r="AM1" s="1" t="s">
        <v>123</v>
      </c>
      <c r="AN1" s="17" t="s">
        <v>124</v>
      </c>
      <c r="AO1" s="17" t="s">
        <v>125</v>
      </c>
      <c r="AP1" s="17" t="s">
        <v>126</v>
      </c>
    </row>
    <row r="2" spans="1:42" x14ac:dyDescent="0.2">
      <c r="A2" s="1" t="s">
        <v>536</v>
      </c>
      <c r="B2" s="1" t="s">
        <v>537</v>
      </c>
      <c r="C2" s="1" t="s">
        <v>2</v>
      </c>
      <c r="D2" s="1" t="s">
        <v>538</v>
      </c>
      <c r="E2" s="1" t="s">
        <v>539</v>
      </c>
      <c r="F2" s="1"/>
      <c r="G2" s="2">
        <v>50</v>
      </c>
      <c r="H2" s="1"/>
      <c r="I2" s="1" t="s">
        <v>540</v>
      </c>
      <c r="J2" s="1" t="s">
        <v>7</v>
      </c>
      <c r="K2" s="1" t="s">
        <v>541</v>
      </c>
      <c r="L2" s="1" t="s">
        <v>9</v>
      </c>
      <c r="M2" s="1" t="s">
        <v>542</v>
      </c>
      <c r="N2" s="1" t="s">
        <v>32</v>
      </c>
      <c r="O2" s="1"/>
      <c r="P2" s="1" t="s">
        <v>543</v>
      </c>
      <c r="Q2" s="1"/>
      <c r="R2" s="1" t="s">
        <v>544</v>
      </c>
      <c r="S2" s="1"/>
      <c r="T2" s="1" t="s">
        <v>545</v>
      </c>
      <c r="U2" s="1"/>
      <c r="V2" s="1"/>
      <c r="W2" s="1" t="s">
        <v>546</v>
      </c>
      <c r="X2" s="3" t="s">
        <v>547</v>
      </c>
      <c r="Y2" s="1" t="s">
        <v>548</v>
      </c>
      <c r="Z2" s="1"/>
      <c r="AA2" s="1"/>
      <c r="AB2" s="1" t="s">
        <v>549</v>
      </c>
      <c r="AC2" s="1"/>
      <c r="AD2" s="1">
        <v>15</v>
      </c>
      <c r="AE2" s="1" t="s">
        <v>18</v>
      </c>
      <c r="AF2" s="1">
        <v>11</v>
      </c>
      <c r="AG2" s="1" t="s">
        <v>18</v>
      </c>
      <c r="AH2" s="1"/>
      <c r="AI2" s="1" t="s">
        <v>20</v>
      </c>
      <c r="AJ2" s="4">
        <v>1442</v>
      </c>
      <c r="AK2" s="5">
        <v>4139</v>
      </c>
      <c r="AL2" s="5">
        <v>4139</v>
      </c>
      <c r="AM2" s="1"/>
      <c r="AN2" s="6">
        <v>50</v>
      </c>
      <c r="AO2" s="6">
        <v>8</v>
      </c>
      <c r="AP2" s="6"/>
    </row>
    <row r="3" spans="1:42" x14ac:dyDescent="0.2">
      <c r="A3" s="1" t="s">
        <v>550</v>
      </c>
      <c r="B3" s="1" t="s">
        <v>551</v>
      </c>
      <c r="C3" s="1" t="s">
        <v>2</v>
      </c>
      <c r="D3" s="1" t="s">
        <v>538</v>
      </c>
      <c r="E3" s="1" t="s">
        <v>539</v>
      </c>
      <c r="F3" s="1"/>
      <c r="G3" s="2">
        <v>65</v>
      </c>
      <c r="H3" s="1"/>
      <c r="I3" s="1" t="s">
        <v>540</v>
      </c>
      <c r="J3" s="1" t="s">
        <v>7</v>
      </c>
      <c r="K3" s="1" t="s">
        <v>541</v>
      </c>
      <c r="L3" s="1" t="s">
        <v>9</v>
      </c>
      <c r="M3" s="1" t="s">
        <v>542</v>
      </c>
      <c r="N3" s="1" t="s">
        <v>32</v>
      </c>
      <c r="O3" s="1"/>
      <c r="P3" s="1" t="s">
        <v>543</v>
      </c>
      <c r="Q3" s="1"/>
      <c r="R3" s="1" t="s">
        <v>544</v>
      </c>
      <c r="S3" s="1"/>
      <c r="T3" s="1" t="s">
        <v>545</v>
      </c>
      <c r="U3" s="1"/>
      <c r="V3" s="1"/>
      <c r="W3" s="1" t="s">
        <v>546</v>
      </c>
      <c r="X3" s="3" t="s">
        <v>547</v>
      </c>
      <c r="Y3" s="1" t="s">
        <v>548</v>
      </c>
      <c r="Z3" s="1"/>
      <c r="AA3" s="1"/>
      <c r="AB3" s="1" t="s">
        <v>549</v>
      </c>
      <c r="AC3" s="1"/>
      <c r="AD3" s="1">
        <v>15</v>
      </c>
      <c r="AE3" s="1" t="s">
        <v>18</v>
      </c>
      <c r="AF3" s="1">
        <v>11</v>
      </c>
      <c r="AG3" s="1" t="s">
        <v>18</v>
      </c>
      <c r="AH3" s="1"/>
      <c r="AI3" s="1" t="s">
        <v>20</v>
      </c>
      <c r="AJ3" s="4">
        <v>1516</v>
      </c>
      <c r="AK3" s="5">
        <v>4426</v>
      </c>
      <c r="AL3" s="5">
        <v>4426</v>
      </c>
      <c r="AM3" s="1"/>
      <c r="AN3" s="6">
        <v>65</v>
      </c>
      <c r="AO3" s="6">
        <v>12</v>
      </c>
      <c r="AP3" s="6"/>
    </row>
    <row r="4" spans="1:42" x14ac:dyDescent="0.2">
      <c r="A4" s="1" t="s">
        <v>552</v>
      </c>
      <c r="B4" s="1" t="s">
        <v>553</v>
      </c>
      <c r="C4" s="1" t="s">
        <v>2</v>
      </c>
      <c r="D4" s="1" t="s">
        <v>538</v>
      </c>
      <c r="E4" s="1" t="s">
        <v>539</v>
      </c>
      <c r="F4" s="1"/>
      <c r="G4" s="2">
        <v>80</v>
      </c>
      <c r="H4" s="1"/>
      <c r="I4" s="1" t="s">
        <v>540</v>
      </c>
      <c r="J4" s="1" t="s">
        <v>7</v>
      </c>
      <c r="K4" s="1" t="s">
        <v>541</v>
      </c>
      <c r="L4" s="1" t="s">
        <v>9</v>
      </c>
      <c r="M4" s="1" t="s">
        <v>542</v>
      </c>
      <c r="N4" s="1" t="s">
        <v>32</v>
      </c>
      <c r="O4" s="1"/>
      <c r="P4" s="1" t="s">
        <v>543</v>
      </c>
      <c r="Q4" s="1"/>
      <c r="R4" s="1" t="s">
        <v>544</v>
      </c>
      <c r="S4" s="1"/>
      <c r="T4" s="1" t="s">
        <v>545</v>
      </c>
      <c r="U4" s="1"/>
      <c r="V4" s="1"/>
      <c r="W4" s="1" t="s">
        <v>546</v>
      </c>
      <c r="X4" s="3" t="s">
        <v>547</v>
      </c>
      <c r="Y4" s="1" t="s">
        <v>548</v>
      </c>
      <c r="Z4" s="1"/>
      <c r="AA4" s="1"/>
      <c r="AB4" s="1" t="s">
        <v>549</v>
      </c>
      <c r="AC4" s="1"/>
      <c r="AD4" s="1">
        <v>15</v>
      </c>
      <c r="AE4" s="1" t="s">
        <v>18</v>
      </c>
      <c r="AF4" s="1">
        <v>11</v>
      </c>
      <c r="AG4" s="1" t="s">
        <v>18</v>
      </c>
      <c r="AH4" s="1"/>
      <c r="AI4" s="1" t="s">
        <v>20</v>
      </c>
      <c r="AJ4" s="4">
        <v>1767</v>
      </c>
      <c r="AK4" s="5">
        <v>5174</v>
      </c>
      <c r="AL4" s="5">
        <v>5174</v>
      </c>
      <c r="AM4" s="1"/>
      <c r="AN4" s="6">
        <v>80</v>
      </c>
      <c r="AO4" s="6">
        <v>16</v>
      </c>
      <c r="AP4" s="6"/>
    </row>
    <row r="5" spans="1:42" x14ac:dyDescent="0.2">
      <c r="A5" s="1" t="s">
        <v>554</v>
      </c>
      <c r="B5" s="1" t="s">
        <v>555</v>
      </c>
      <c r="C5" s="1" t="s">
        <v>2</v>
      </c>
      <c r="D5" s="1" t="s">
        <v>538</v>
      </c>
      <c r="E5" s="1" t="s">
        <v>539</v>
      </c>
      <c r="F5" s="1"/>
      <c r="G5" s="2">
        <v>100</v>
      </c>
      <c r="H5" s="1"/>
      <c r="I5" s="1" t="s">
        <v>540</v>
      </c>
      <c r="J5" s="1" t="s">
        <v>7</v>
      </c>
      <c r="K5" s="1" t="s">
        <v>541</v>
      </c>
      <c r="L5" s="1" t="s">
        <v>9</v>
      </c>
      <c r="M5" s="1" t="s">
        <v>542</v>
      </c>
      <c r="N5" s="1" t="s">
        <v>32</v>
      </c>
      <c r="O5" s="1"/>
      <c r="P5" s="1" t="s">
        <v>543</v>
      </c>
      <c r="Q5" s="1"/>
      <c r="R5" s="1" t="s">
        <v>544</v>
      </c>
      <c r="S5" s="1"/>
      <c r="T5" s="1" t="s">
        <v>545</v>
      </c>
      <c r="U5" s="1"/>
      <c r="V5" s="1"/>
      <c r="W5" s="1" t="s">
        <v>546</v>
      </c>
      <c r="X5" s="3" t="s">
        <v>547</v>
      </c>
      <c r="Y5" s="1" t="s">
        <v>548</v>
      </c>
      <c r="Z5" s="1"/>
      <c r="AA5" s="1"/>
      <c r="AB5" s="1" t="s">
        <v>549</v>
      </c>
      <c r="AC5" s="1"/>
      <c r="AD5" s="1">
        <v>15</v>
      </c>
      <c r="AE5" s="1" t="s">
        <v>18</v>
      </c>
      <c r="AF5" s="1">
        <v>11</v>
      </c>
      <c r="AG5" s="1" t="s">
        <v>18</v>
      </c>
      <c r="AH5" s="1"/>
      <c r="AI5" s="1" t="s">
        <v>20</v>
      </c>
      <c r="AJ5" s="4">
        <v>2616</v>
      </c>
      <c r="AK5" s="5">
        <v>7292</v>
      </c>
      <c r="AL5" s="5">
        <v>7292</v>
      </c>
      <c r="AM5" s="1"/>
      <c r="AN5" s="6">
        <v>100</v>
      </c>
      <c r="AO5" s="6">
        <v>25</v>
      </c>
      <c r="AP5" s="6"/>
    </row>
    <row r="6" spans="1:42" x14ac:dyDescent="0.2">
      <c r="A6" s="1" t="s">
        <v>556</v>
      </c>
      <c r="B6" s="1" t="s">
        <v>557</v>
      </c>
      <c r="C6" s="1" t="s">
        <v>2</v>
      </c>
      <c r="D6" s="1" t="s">
        <v>538</v>
      </c>
      <c r="E6" s="1" t="s">
        <v>539</v>
      </c>
      <c r="F6" s="1"/>
      <c r="G6" s="2">
        <v>125</v>
      </c>
      <c r="H6" s="1"/>
      <c r="I6" s="1" t="s">
        <v>540</v>
      </c>
      <c r="J6" s="1" t="s">
        <v>7</v>
      </c>
      <c r="K6" s="1" t="s">
        <v>541</v>
      </c>
      <c r="L6" s="1" t="s">
        <v>9</v>
      </c>
      <c r="M6" s="1" t="s">
        <v>542</v>
      </c>
      <c r="N6" s="1" t="s">
        <v>32</v>
      </c>
      <c r="O6" s="1"/>
      <c r="P6" s="1" t="s">
        <v>543</v>
      </c>
      <c r="Q6" s="1"/>
      <c r="R6" s="1" t="s">
        <v>544</v>
      </c>
      <c r="S6" s="1"/>
      <c r="T6" s="1" t="s">
        <v>545</v>
      </c>
      <c r="U6" s="1"/>
      <c r="V6" s="1"/>
      <c r="W6" s="1" t="s">
        <v>546</v>
      </c>
      <c r="X6" s="3" t="s">
        <v>547</v>
      </c>
      <c r="Y6" s="1" t="s">
        <v>548</v>
      </c>
      <c r="Z6" s="1"/>
      <c r="AA6" s="1"/>
      <c r="AB6" s="1" t="s">
        <v>549</v>
      </c>
      <c r="AC6" s="1"/>
      <c r="AD6" s="1">
        <v>15</v>
      </c>
      <c r="AE6" s="1" t="s">
        <v>18</v>
      </c>
      <c r="AF6" s="1">
        <v>11</v>
      </c>
      <c r="AG6" s="1" t="s">
        <v>18</v>
      </c>
      <c r="AH6" s="1"/>
      <c r="AI6" s="1" t="s">
        <v>20</v>
      </c>
      <c r="AJ6" s="4">
        <v>3204</v>
      </c>
      <c r="AK6" s="5">
        <v>9502</v>
      </c>
      <c r="AL6" s="5">
        <v>9502</v>
      </c>
      <c r="AM6" s="1"/>
      <c r="AN6" s="6">
        <v>125</v>
      </c>
      <c r="AO6" s="6">
        <v>40</v>
      </c>
      <c r="AP6" s="6"/>
    </row>
    <row r="7" spans="1:42" x14ac:dyDescent="0.2">
      <c r="A7" s="1" t="s">
        <v>558</v>
      </c>
      <c r="B7" s="1" t="s">
        <v>559</v>
      </c>
      <c r="C7" s="1" t="s">
        <v>2</v>
      </c>
      <c r="D7" s="1" t="s">
        <v>538</v>
      </c>
      <c r="E7" s="1" t="s">
        <v>539</v>
      </c>
      <c r="F7" s="1"/>
      <c r="G7" s="2">
        <v>150</v>
      </c>
      <c r="H7" s="1"/>
      <c r="I7" s="1" t="s">
        <v>540</v>
      </c>
      <c r="J7" s="1" t="s">
        <v>7</v>
      </c>
      <c r="K7" s="1" t="s">
        <v>541</v>
      </c>
      <c r="L7" s="1" t="s">
        <v>9</v>
      </c>
      <c r="M7" s="1" t="s">
        <v>542</v>
      </c>
      <c r="N7" s="1" t="s">
        <v>32</v>
      </c>
      <c r="O7" s="1"/>
      <c r="P7" s="1" t="s">
        <v>543</v>
      </c>
      <c r="Q7" s="1"/>
      <c r="R7" s="1" t="s">
        <v>544</v>
      </c>
      <c r="S7" s="1"/>
      <c r="T7" s="1" t="s">
        <v>545</v>
      </c>
      <c r="U7" s="1"/>
      <c r="V7" s="1"/>
      <c r="W7" s="1" t="s">
        <v>546</v>
      </c>
      <c r="X7" s="3" t="s">
        <v>547</v>
      </c>
      <c r="Y7" s="1" t="s">
        <v>548</v>
      </c>
      <c r="Z7" s="1"/>
      <c r="AA7" s="1"/>
      <c r="AB7" s="1" t="s">
        <v>549</v>
      </c>
      <c r="AC7" s="1"/>
      <c r="AD7" s="1">
        <v>15</v>
      </c>
      <c r="AE7" s="1" t="s">
        <v>18</v>
      </c>
      <c r="AF7" s="1">
        <v>11</v>
      </c>
      <c r="AG7" s="1" t="s">
        <v>18</v>
      </c>
      <c r="AH7" s="1"/>
      <c r="AI7" s="1" t="s">
        <v>20</v>
      </c>
      <c r="AJ7" s="4">
        <v>4058</v>
      </c>
      <c r="AK7" s="5">
        <v>12222</v>
      </c>
      <c r="AL7" s="5">
        <v>12222</v>
      </c>
      <c r="AM7" s="1"/>
      <c r="AN7" s="6">
        <v>150</v>
      </c>
      <c r="AO7" s="6">
        <v>55</v>
      </c>
      <c r="AP7" s="6"/>
    </row>
    <row r="8" spans="1:42" x14ac:dyDescent="0.2">
      <c r="A8" s="1" t="s">
        <v>560</v>
      </c>
      <c r="B8" s="1" t="s">
        <v>561</v>
      </c>
      <c r="C8" s="1" t="s">
        <v>2</v>
      </c>
      <c r="D8" s="1" t="s">
        <v>538</v>
      </c>
      <c r="E8" s="1" t="s">
        <v>539</v>
      </c>
      <c r="F8" s="1"/>
      <c r="G8" s="2">
        <v>200</v>
      </c>
      <c r="H8" s="1"/>
      <c r="I8" s="1" t="s">
        <v>540</v>
      </c>
      <c r="J8" s="1" t="s">
        <v>7</v>
      </c>
      <c r="K8" s="1" t="s">
        <v>541</v>
      </c>
      <c r="L8" s="1" t="s">
        <v>9</v>
      </c>
      <c r="M8" s="1" t="s">
        <v>542</v>
      </c>
      <c r="N8" s="1" t="s">
        <v>32</v>
      </c>
      <c r="O8" s="1"/>
      <c r="P8" s="1" t="s">
        <v>543</v>
      </c>
      <c r="Q8" s="1"/>
      <c r="R8" s="1" t="s">
        <v>544</v>
      </c>
      <c r="S8" s="1"/>
      <c r="T8" s="1" t="s">
        <v>545</v>
      </c>
      <c r="U8" s="1"/>
      <c r="V8" s="1"/>
      <c r="W8" s="1" t="s">
        <v>546</v>
      </c>
      <c r="X8" s="3" t="s">
        <v>547</v>
      </c>
      <c r="Y8" s="1" t="s">
        <v>548</v>
      </c>
      <c r="Z8" s="1"/>
      <c r="AA8" s="1"/>
      <c r="AB8" s="1" t="s">
        <v>549</v>
      </c>
      <c r="AC8" s="1"/>
      <c r="AD8" s="1">
        <v>15</v>
      </c>
      <c r="AE8" s="1" t="s">
        <v>18</v>
      </c>
      <c r="AF8" s="1">
        <v>11</v>
      </c>
      <c r="AG8" s="1" t="s">
        <v>18</v>
      </c>
      <c r="AH8" s="1"/>
      <c r="AI8" s="1" t="s">
        <v>20</v>
      </c>
      <c r="AJ8" s="4">
        <v>9123</v>
      </c>
      <c r="AK8" s="5">
        <v>24096</v>
      </c>
      <c r="AL8" s="5">
        <v>24096</v>
      </c>
      <c r="AM8" s="1"/>
      <c r="AN8" s="6">
        <v>200</v>
      </c>
      <c r="AO8" s="6">
        <v>105</v>
      </c>
      <c r="AP8" s="6"/>
    </row>
    <row r="9" spans="1:42" x14ac:dyDescent="0.2">
      <c r="A9" s="1" t="s">
        <v>562</v>
      </c>
      <c r="B9" s="1" t="s">
        <v>563</v>
      </c>
      <c r="C9" s="1" t="s">
        <v>2</v>
      </c>
      <c r="D9" s="1" t="s">
        <v>538</v>
      </c>
      <c r="E9" s="1" t="s">
        <v>539</v>
      </c>
      <c r="F9" s="1"/>
      <c r="G9" s="2">
        <v>250</v>
      </c>
      <c r="H9" s="1"/>
      <c r="I9" s="1" t="s">
        <v>540</v>
      </c>
      <c r="J9" s="1" t="s">
        <v>7</v>
      </c>
      <c r="K9" s="1" t="s">
        <v>541</v>
      </c>
      <c r="L9" s="1" t="s">
        <v>9</v>
      </c>
      <c r="M9" s="1" t="s">
        <v>542</v>
      </c>
      <c r="N9" s="1" t="s">
        <v>32</v>
      </c>
      <c r="O9" s="1"/>
      <c r="P9" s="1" t="s">
        <v>543</v>
      </c>
      <c r="Q9" s="1"/>
      <c r="R9" s="1" t="s">
        <v>544</v>
      </c>
      <c r="S9" s="1"/>
      <c r="T9" s="1" t="s">
        <v>545</v>
      </c>
      <c r="U9" s="1"/>
      <c r="V9" s="1"/>
      <c r="W9" s="1" t="s">
        <v>546</v>
      </c>
      <c r="X9" s="3" t="s">
        <v>547</v>
      </c>
      <c r="Y9" s="1" t="s">
        <v>548</v>
      </c>
      <c r="Z9" s="1"/>
      <c r="AA9" s="1"/>
      <c r="AB9" s="1" t="s">
        <v>549</v>
      </c>
      <c r="AC9" s="1"/>
      <c r="AD9" s="1">
        <v>15</v>
      </c>
      <c r="AE9" s="1" t="s">
        <v>18</v>
      </c>
      <c r="AF9" s="1">
        <v>11</v>
      </c>
      <c r="AG9" s="1" t="s">
        <v>18</v>
      </c>
      <c r="AH9" s="1"/>
      <c r="AI9" s="1" t="s">
        <v>20</v>
      </c>
      <c r="AJ9" s="4">
        <v>14175</v>
      </c>
      <c r="AK9" s="5">
        <v>35861</v>
      </c>
      <c r="AL9" s="5">
        <v>35861</v>
      </c>
      <c r="AM9" s="1"/>
      <c r="AN9" s="6">
        <v>250</v>
      </c>
      <c r="AO9" s="6">
        <v>160</v>
      </c>
      <c r="AP9" s="6"/>
    </row>
    <row r="10" spans="1:42" x14ac:dyDescent="0.2">
      <c r="A10" s="1" t="s">
        <v>564</v>
      </c>
      <c r="B10" s="1" t="s">
        <v>565</v>
      </c>
      <c r="C10" s="1" t="s">
        <v>2</v>
      </c>
      <c r="D10" s="1" t="s">
        <v>538</v>
      </c>
      <c r="E10" s="1" t="s">
        <v>539</v>
      </c>
      <c r="F10" s="1"/>
      <c r="G10" s="2">
        <v>300</v>
      </c>
      <c r="H10" s="1"/>
      <c r="I10" s="1" t="s">
        <v>540</v>
      </c>
      <c r="J10" s="1" t="s">
        <v>7</v>
      </c>
      <c r="K10" s="1" t="s">
        <v>541</v>
      </c>
      <c r="L10" s="1" t="s">
        <v>9</v>
      </c>
      <c r="M10" s="1" t="s">
        <v>542</v>
      </c>
      <c r="N10" s="1" t="s">
        <v>32</v>
      </c>
      <c r="O10" s="1"/>
      <c r="P10" s="1" t="s">
        <v>543</v>
      </c>
      <c r="Q10" s="1"/>
      <c r="R10" s="1" t="s">
        <v>544</v>
      </c>
      <c r="S10" s="1"/>
      <c r="T10" s="1" t="s">
        <v>545</v>
      </c>
      <c r="U10" s="1"/>
      <c r="V10" s="1"/>
      <c r="W10" s="1" t="s">
        <v>546</v>
      </c>
      <c r="X10" s="3" t="s">
        <v>547</v>
      </c>
      <c r="Y10" s="1" t="s">
        <v>548</v>
      </c>
      <c r="Z10" s="1"/>
      <c r="AA10" s="1"/>
      <c r="AB10" s="1" t="s">
        <v>549</v>
      </c>
      <c r="AC10" s="1"/>
      <c r="AD10" s="1">
        <v>15</v>
      </c>
      <c r="AE10" s="1" t="s">
        <v>18</v>
      </c>
      <c r="AF10" s="1">
        <v>11</v>
      </c>
      <c r="AG10" s="1" t="s">
        <v>18</v>
      </c>
      <c r="AH10" s="1"/>
      <c r="AI10" s="1" t="s">
        <v>20</v>
      </c>
      <c r="AJ10" s="4">
        <v>19769</v>
      </c>
      <c r="AK10" s="5">
        <v>50895</v>
      </c>
      <c r="AL10" s="5">
        <v>50895</v>
      </c>
      <c r="AM10" s="1"/>
      <c r="AN10" s="6">
        <v>300</v>
      </c>
      <c r="AO10" s="6">
        <v>180</v>
      </c>
      <c r="AP10" s="6"/>
    </row>
    <row r="11" spans="1:42" x14ac:dyDescent="0.2">
      <c r="A11" s="1" t="s">
        <v>566</v>
      </c>
      <c r="B11" s="1" t="s">
        <v>567</v>
      </c>
      <c r="C11" s="1" t="s">
        <v>2</v>
      </c>
      <c r="D11" s="1" t="s">
        <v>538</v>
      </c>
      <c r="E11" s="1" t="s">
        <v>539</v>
      </c>
      <c r="F11" s="1"/>
      <c r="G11" s="2">
        <v>350</v>
      </c>
      <c r="H11" s="1"/>
      <c r="I11" s="1" t="s">
        <v>540</v>
      </c>
      <c r="J11" s="1" t="s">
        <v>7</v>
      </c>
      <c r="K11" s="1" t="s">
        <v>541</v>
      </c>
      <c r="L11" s="1" t="s">
        <v>9</v>
      </c>
      <c r="M11" s="1" t="s">
        <v>542</v>
      </c>
      <c r="N11" s="1" t="s">
        <v>32</v>
      </c>
      <c r="O11" s="1"/>
      <c r="P11" s="1" t="s">
        <v>543</v>
      </c>
      <c r="Q11" s="1"/>
      <c r="R11" s="1" t="s">
        <v>544</v>
      </c>
      <c r="S11" s="1"/>
      <c r="T11" s="1" t="s">
        <v>545</v>
      </c>
      <c r="U11" s="1"/>
      <c r="V11" s="1"/>
      <c r="W11" s="1" t="s">
        <v>546</v>
      </c>
      <c r="X11" s="3" t="s">
        <v>547</v>
      </c>
      <c r="Y11" s="1" t="s">
        <v>548</v>
      </c>
      <c r="Z11" s="1"/>
      <c r="AA11" s="1"/>
      <c r="AB11" s="1" t="s">
        <v>549</v>
      </c>
      <c r="AC11" s="1"/>
      <c r="AD11" s="1">
        <v>15</v>
      </c>
      <c r="AE11" s="1" t="s">
        <v>18</v>
      </c>
      <c r="AF11" s="1">
        <v>11</v>
      </c>
      <c r="AG11" s="1" t="s">
        <v>18</v>
      </c>
      <c r="AH11" s="1"/>
      <c r="AI11" s="1" t="s">
        <v>20</v>
      </c>
      <c r="AJ11" s="4" t="s">
        <v>33</v>
      </c>
      <c r="AK11" s="5" t="s">
        <v>33</v>
      </c>
      <c r="AL11" s="5" t="s">
        <v>33</v>
      </c>
      <c r="AM11" s="1"/>
      <c r="AN11" s="6">
        <v>350</v>
      </c>
      <c r="AO11" s="6">
        <v>526</v>
      </c>
      <c r="AP11" s="6"/>
    </row>
    <row r="12" spans="1:42" x14ac:dyDescent="0.2">
      <c r="A12" s="1" t="s">
        <v>568</v>
      </c>
      <c r="B12" s="1" t="s">
        <v>569</v>
      </c>
      <c r="C12" s="1" t="s">
        <v>2</v>
      </c>
      <c r="D12" s="1" t="s">
        <v>538</v>
      </c>
      <c r="E12" s="1" t="s">
        <v>539</v>
      </c>
      <c r="F12" s="1"/>
      <c r="G12" s="2">
        <v>400</v>
      </c>
      <c r="H12" s="1"/>
      <c r="I12" s="1" t="s">
        <v>540</v>
      </c>
      <c r="J12" s="1" t="s">
        <v>7</v>
      </c>
      <c r="K12" s="1" t="s">
        <v>541</v>
      </c>
      <c r="L12" s="1" t="s">
        <v>9</v>
      </c>
      <c r="M12" s="1" t="s">
        <v>542</v>
      </c>
      <c r="N12" s="1" t="s">
        <v>32</v>
      </c>
      <c r="O12" s="1"/>
      <c r="P12" s="1" t="s">
        <v>543</v>
      </c>
      <c r="Q12" s="1"/>
      <c r="R12" s="1" t="s">
        <v>544</v>
      </c>
      <c r="S12" s="1"/>
      <c r="T12" s="1" t="s">
        <v>545</v>
      </c>
      <c r="U12" s="1"/>
      <c r="V12" s="1"/>
      <c r="W12" s="1" t="s">
        <v>546</v>
      </c>
      <c r="X12" s="3" t="s">
        <v>547</v>
      </c>
      <c r="Y12" s="1" t="s">
        <v>548</v>
      </c>
      <c r="Z12" s="1"/>
      <c r="AA12" s="1"/>
      <c r="AB12" s="1" t="s">
        <v>549</v>
      </c>
      <c r="AC12" s="1"/>
      <c r="AD12" s="1">
        <v>15</v>
      </c>
      <c r="AE12" s="1" t="s">
        <v>18</v>
      </c>
      <c r="AF12" s="1">
        <v>11</v>
      </c>
      <c r="AG12" s="1" t="s">
        <v>18</v>
      </c>
      <c r="AH12" s="1"/>
      <c r="AI12" s="1" t="s">
        <v>20</v>
      </c>
      <c r="AJ12" s="4" t="s">
        <v>33</v>
      </c>
      <c r="AK12" s="5" t="s">
        <v>33</v>
      </c>
      <c r="AL12" s="5" t="s">
        <v>33</v>
      </c>
      <c r="AM12" s="1"/>
      <c r="AN12" s="6">
        <v>400</v>
      </c>
      <c r="AO12" s="6">
        <v>880</v>
      </c>
      <c r="AP12" s="6"/>
    </row>
    <row r="13" spans="1:42" x14ac:dyDescent="0.2">
      <c r="A13" s="1" t="s">
        <v>570</v>
      </c>
      <c r="B13" s="1" t="s">
        <v>571</v>
      </c>
      <c r="C13" s="1" t="s">
        <v>2</v>
      </c>
      <c r="D13" s="1" t="s">
        <v>538</v>
      </c>
      <c r="E13" s="1" t="s">
        <v>539</v>
      </c>
      <c r="F13" s="1"/>
      <c r="G13" s="2">
        <v>450</v>
      </c>
      <c r="H13" s="1"/>
      <c r="I13" s="1" t="s">
        <v>540</v>
      </c>
      <c r="J13" s="1" t="s">
        <v>7</v>
      </c>
      <c r="K13" s="1" t="s">
        <v>541</v>
      </c>
      <c r="L13" s="1" t="s">
        <v>9</v>
      </c>
      <c r="M13" s="1" t="s">
        <v>542</v>
      </c>
      <c r="N13" s="1" t="s">
        <v>32</v>
      </c>
      <c r="O13" s="1"/>
      <c r="P13" s="1" t="s">
        <v>543</v>
      </c>
      <c r="Q13" s="1"/>
      <c r="R13" s="1" t="s">
        <v>544</v>
      </c>
      <c r="S13" s="1"/>
      <c r="T13" s="1" t="s">
        <v>545</v>
      </c>
      <c r="U13" s="1"/>
      <c r="V13" s="1"/>
      <c r="W13" s="1" t="s">
        <v>546</v>
      </c>
      <c r="X13" s="3" t="s">
        <v>547</v>
      </c>
      <c r="Y13" s="1" t="s">
        <v>548</v>
      </c>
      <c r="Z13" s="1"/>
      <c r="AA13" s="1"/>
      <c r="AB13" s="1" t="s">
        <v>549</v>
      </c>
      <c r="AC13" s="1"/>
      <c r="AD13" s="1">
        <v>15</v>
      </c>
      <c r="AE13" s="1" t="s">
        <v>18</v>
      </c>
      <c r="AF13" s="1">
        <v>11</v>
      </c>
      <c r="AG13" s="1" t="s">
        <v>18</v>
      </c>
      <c r="AH13" s="1"/>
      <c r="AI13" s="1" t="s">
        <v>20</v>
      </c>
      <c r="AJ13" s="4" t="s">
        <v>33</v>
      </c>
      <c r="AK13" s="5" t="s">
        <v>33</v>
      </c>
      <c r="AL13" s="5" t="s">
        <v>33</v>
      </c>
      <c r="AM13" s="1"/>
      <c r="AN13" s="6">
        <v>450</v>
      </c>
      <c r="AO13" s="6">
        <v>1136</v>
      </c>
      <c r="AP13" s="6"/>
    </row>
    <row r="14" spans="1:42" x14ac:dyDescent="0.2">
      <c r="A14" s="1" t="s">
        <v>572</v>
      </c>
      <c r="B14" s="1" t="s">
        <v>573</v>
      </c>
      <c r="C14" s="1" t="s">
        <v>2</v>
      </c>
      <c r="D14" s="1" t="s">
        <v>538</v>
      </c>
      <c r="E14" s="1" t="s">
        <v>539</v>
      </c>
      <c r="F14" s="1"/>
      <c r="G14" s="2">
        <v>500</v>
      </c>
      <c r="H14" s="1"/>
      <c r="I14" s="1" t="s">
        <v>540</v>
      </c>
      <c r="J14" s="1" t="s">
        <v>7</v>
      </c>
      <c r="K14" s="1" t="s">
        <v>541</v>
      </c>
      <c r="L14" s="1" t="s">
        <v>9</v>
      </c>
      <c r="M14" s="1" t="s">
        <v>542</v>
      </c>
      <c r="N14" s="1" t="s">
        <v>32</v>
      </c>
      <c r="O14" s="1"/>
      <c r="P14" s="1" t="s">
        <v>543</v>
      </c>
      <c r="Q14" s="1"/>
      <c r="R14" s="1" t="s">
        <v>544</v>
      </c>
      <c r="S14" s="1"/>
      <c r="T14" s="1" t="s">
        <v>545</v>
      </c>
      <c r="U14" s="1"/>
      <c r="V14" s="1"/>
      <c r="W14" s="1" t="s">
        <v>546</v>
      </c>
      <c r="X14" s="3" t="s">
        <v>547</v>
      </c>
      <c r="Y14" s="1" t="s">
        <v>548</v>
      </c>
      <c r="Z14" s="1"/>
      <c r="AA14" s="1"/>
      <c r="AB14" s="1" t="s">
        <v>549</v>
      </c>
      <c r="AC14" s="1"/>
      <c r="AD14" s="1">
        <v>15</v>
      </c>
      <c r="AE14" s="1" t="s">
        <v>18</v>
      </c>
      <c r="AF14" s="1">
        <v>11</v>
      </c>
      <c r="AG14" s="1" t="s">
        <v>18</v>
      </c>
      <c r="AH14" s="1"/>
      <c r="AI14" s="1" t="s">
        <v>20</v>
      </c>
      <c r="AJ14" s="4" t="s">
        <v>33</v>
      </c>
      <c r="AK14" s="5" t="s">
        <v>33</v>
      </c>
      <c r="AL14" s="5" t="s">
        <v>33</v>
      </c>
      <c r="AM14" s="1"/>
      <c r="AN14" s="6">
        <v>500</v>
      </c>
      <c r="AO14" s="6">
        <v>1545</v>
      </c>
      <c r="AP14" s="6"/>
    </row>
    <row r="15" spans="1:42" x14ac:dyDescent="0.2">
      <c r="A15" s="1" t="s">
        <v>574</v>
      </c>
      <c r="B15" s="1" t="s">
        <v>575</v>
      </c>
      <c r="C15" s="1" t="s">
        <v>2</v>
      </c>
      <c r="D15" s="1" t="s">
        <v>538</v>
      </c>
      <c r="E15" s="1" t="s">
        <v>539</v>
      </c>
      <c r="F15" s="1"/>
      <c r="G15" s="2">
        <v>600</v>
      </c>
      <c r="H15" s="1"/>
      <c r="I15" s="1" t="s">
        <v>540</v>
      </c>
      <c r="J15" s="1" t="s">
        <v>7</v>
      </c>
      <c r="K15" s="1" t="s">
        <v>541</v>
      </c>
      <c r="L15" s="1" t="s">
        <v>9</v>
      </c>
      <c r="M15" s="1" t="s">
        <v>542</v>
      </c>
      <c r="N15" s="1" t="s">
        <v>32</v>
      </c>
      <c r="O15" s="1"/>
      <c r="P15" s="1" t="s">
        <v>543</v>
      </c>
      <c r="Q15" s="1"/>
      <c r="R15" s="1" t="s">
        <v>544</v>
      </c>
      <c r="S15" s="1"/>
      <c r="T15" s="1" t="s">
        <v>545</v>
      </c>
      <c r="U15" s="1"/>
      <c r="V15" s="1"/>
      <c r="W15" s="1" t="s">
        <v>546</v>
      </c>
      <c r="X15" s="3" t="s">
        <v>547</v>
      </c>
      <c r="Y15" s="1" t="s">
        <v>548</v>
      </c>
      <c r="Z15" s="1"/>
      <c r="AA15" s="1"/>
      <c r="AB15" s="1" t="s">
        <v>549</v>
      </c>
      <c r="AC15" s="1"/>
      <c r="AD15" s="1">
        <v>15</v>
      </c>
      <c r="AE15" s="1" t="s">
        <v>18</v>
      </c>
      <c r="AF15" s="1">
        <v>11</v>
      </c>
      <c r="AG15" s="1" t="s">
        <v>18</v>
      </c>
      <c r="AH15" s="1"/>
      <c r="AI15" s="1" t="s">
        <v>20</v>
      </c>
      <c r="AJ15" s="4" t="s">
        <v>33</v>
      </c>
      <c r="AK15" s="5" t="s">
        <v>33</v>
      </c>
      <c r="AL15" s="5" t="s">
        <v>33</v>
      </c>
      <c r="AM15" s="1"/>
      <c r="AN15" s="6">
        <v>600</v>
      </c>
      <c r="AO15" s="6">
        <v>2517</v>
      </c>
      <c r="AP15" s="6"/>
    </row>
    <row r="16" spans="1:42" x14ac:dyDescent="0.2">
      <c r="A16" s="1" t="s">
        <v>576</v>
      </c>
      <c r="B16" s="1" t="s">
        <v>577</v>
      </c>
      <c r="C16" s="1" t="s">
        <v>2</v>
      </c>
      <c r="D16" s="1" t="s">
        <v>538</v>
      </c>
      <c r="E16" s="1" t="s">
        <v>539</v>
      </c>
      <c r="F16" s="1"/>
      <c r="G16" s="2">
        <v>50</v>
      </c>
      <c r="H16" s="1"/>
      <c r="I16" s="1" t="s">
        <v>540</v>
      </c>
      <c r="J16" s="1" t="s">
        <v>7</v>
      </c>
      <c r="K16" s="1" t="s">
        <v>541</v>
      </c>
      <c r="L16" s="1" t="s">
        <v>9</v>
      </c>
      <c r="M16" s="1" t="s">
        <v>542</v>
      </c>
      <c r="N16" s="1" t="s">
        <v>578</v>
      </c>
      <c r="O16" s="1"/>
      <c r="P16" s="1" t="s">
        <v>543</v>
      </c>
      <c r="Q16" s="1"/>
      <c r="R16" s="1" t="s">
        <v>544</v>
      </c>
      <c r="S16" s="1"/>
      <c r="T16" s="1" t="s">
        <v>545</v>
      </c>
      <c r="U16" s="1"/>
      <c r="V16" s="1"/>
      <c r="W16" s="1" t="s">
        <v>546</v>
      </c>
      <c r="X16" s="3" t="s">
        <v>547</v>
      </c>
      <c r="Y16" s="1" t="s">
        <v>548</v>
      </c>
      <c r="Z16" s="1"/>
      <c r="AA16" s="1"/>
      <c r="AB16" s="1" t="s">
        <v>549</v>
      </c>
      <c r="AC16" s="1"/>
      <c r="AD16" s="1">
        <v>15</v>
      </c>
      <c r="AE16" s="1" t="s">
        <v>18</v>
      </c>
      <c r="AF16" s="1">
        <v>11</v>
      </c>
      <c r="AG16" s="1" t="s">
        <v>18</v>
      </c>
      <c r="AH16" s="1"/>
      <c r="AI16" s="1" t="s">
        <v>20</v>
      </c>
      <c r="AJ16" s="4">
        <v>1387</v>
      </c>
      <c r="AK16" s="5">
        <v>3691</v>
      </c>
      <c r="AL16" s="5">
        <v>3691</v>
      </c>
      <c r="AM16" s="1"/>
      <c r="AN16" s="6">
        <v>50</v>
      </c>
      <c r="AO16" s="6">
        <v>8</v>
      </c>
      <c r="AP16" s="6"/>
    </row>
    <row r="17" spans="1:42" x14ac:dyDescent="0.2">
      <c r="A17" s="1" t="s">
        <v>579</v>
      </c>
      <c r="B17" s="1" t="s">
        <v>580</v>
      </c>
      <c r="C17" s="1" t="s">
        <v>2</v>
      </c>
      <c r="D17" s="1" t="s">
        <v>538</v>
      </c>
      <c r="E17" s="1" t="s">
        <v>539</v>
      </c>
      <c r="F17" s="1"/>
      <c r="G17" s="2">
        <v>65</v>
      </c>
      <c r="H17" s="1"/>
      <c r="I17" s="1" t="s">
        <v>540</v>
      </c>
      <c r="J17" s="1" t="s">
        <v>7</v>
      </c>
      <c r="K17" s="1" t="s">
        <v>541</v>
      </c>
      <c r="L17" s="1" t="s">
        <v>9</v>
      </c>
      <c r="M17" s="1" t="s">
        <v>542</v>
      </c>
      <c r="N17" s="1" t="s">
        <v>578</v>
      </c>
      <c r="O17" s="1"/>
      <c r="P17" s="1" t="s">
        <v>543</v>
      </c>
      <c r="Q17" s="1"/>
      <c r="R17" s="1" t="s">
        <v>544</v>
      </c>
      <c r="S17" s="1"/>
      <c r="T17" s="1" t="s">
        <v>545</v>
      </c>
      <c r="U17" s="1"/>
      <c r="V17" s="1"/>
      <c r="W17" s="1" t="s">
        <v>546</v>
      </c>
      <c r="X17" s="3" t="s">
        <v>547</v>
      </c>
      <c r="Y17" s="1" t="s">
        <v>548</v>
      </c>
      <c r="Z17" s="1"/>
      <c r="AA17" s="1"/>
      <c r="AB17" s="1" t="s">
        <v>549</v>
      </c>
      <c r="AC17" s="1"/>
      <c r="AD17" s="1">
        <v>15</v>
      </c>
      <c r="AE17" s="1" t="s">
        <v>18</v>
      </c>
      <c r="AF17" s="1">
        <v>11</v>
      </c>
      <c r="AG17" s="1" t="s">
        <v>18</v>
      </c>
      <c r="AH17" s="1"/>
      <c r="AI17" s="1" t="s">
        <v>20</v>
      </c>
      <c r="AJ17" s="4">
        <v>1406</v>
      </c>
      <c r="AK17" s="5">
        <v>3840</v>
      </c>
      <c r="AL17" s="5">
        <v>3840</v>
      </c>
      <c r="AM17" s="1"/>
      <c r="AN17" s="6">
        <v>65</v>
      </c>
      <c r="AO17" s="6">
        <v>12</v>
      </c>
      <c r="AP17" s="6"/>
    </row>
    <row r="18" spans="1:42" x14ac:dyDescent="0.2">
      <c r="A18" s="1" t="s">
        <v>581</v>
      </c>
      <c r="B18" s="1" t="s">
        <v>582</v>
      </c>
      <c r="C18" s="1" t="s">
        <v>2</v>
      </c>
      <c r="D18" s="1" t="s">
        <v>538</v>
      </c>
      <c r="E18" s="1" t="s">
        <v>539</v>
      </c>
      <c r="F18" s="1"/>
      <c r="G18" s="2">
        <v>80</v>
      </c>
      <c r="H18" s="1"/>
      <c r="I18" s="1" t="s">
        <v>540</v>
      </c>
      <c r="J18" s="1" t="s">
        <v>7</v>
      </c>
      <c r="K18" s="1" t="s">
        <v>541</v>
      </c>
      <c r="L18" s="1" t="s">
        <v>9</v>
      </c>
      <c r="M18" s="1" t="s">
        <v>542</v>
      </c>
      <c r="N18" s="1" t="s">
        <v>578</v>
      </c>
      <c r="O18" s="1"/>
      <c r="P18" s="1" t="s">
        <v>543</v>
      </c>
      <c r="Q18" s="1"/>
      <c r="R18" s="1" t="s">
        <v>544</v>
      </c>
      <c r="S18" s="1"/>
      <c r="T18" s="1" t="s">
        <v>545</v>
      </c>
      <c r="U18" s="1"/>
      <c r="V18" s="1"/>
      <c r="W18" s="1" t="s">
        <v>546</v>
      </c>
      <c r="X18" s="3" t="s">
        <v>547</v>
      </c>
      <c r="Y18" s="1" t="s">
        <v>548</v>
      </c>
      <c r="Z18" s="1"/>
      <c r="AA18" s="1"/>
      <c r="AB18" s="1" t="s">
        <v>549</v>
      </c>
      <c r="AC18" s="1"/>
      <c r="AD18" s="1">
        <v>15</v>
      </c>
      <c r="AE18" s="1" t="s">
        <v>18</v>
      </c>
      <c r="AF18" s="1">
        <v>11</v>
      </c>
      <c r="AG18" s="1" t="s">
        <v>18</v>
      </c>
      <c r="AH18" s="1"/>
      <c r="AI18" s="1" t="s">
        <v>20</v>
      </c>
      <c r="AJ18" s="4">
        <v>1648</v>
      </c>
      <c r="AK18" s="5">
        <v>4283</v>
      </c>
      <c r="AL18" s="5">
        <v>4283</v>
      </c>
      <c r="AM18" s="1"/>
      <c r="AN18" s="6">
        <v>80</v>
      </c>
      <c r="AO18" s="6">
        <v>16</v>
      </c>
      <c r="AP18" s="6"/>
    </row>
    <row r="19" spans="1:42" x14ac:dyDescent="0.2">
      <c r="A19" s="1" t="s">
        <v>583</v>
      </c>
      <c r="B19" s="1" t="s">
        <v>584</v>
      </c>
      <c r="C19" s="1" t="s">
        <v>2</v>
      </c>
      <c r="D19" s="1" t="s">
        <v>538</v>
      </c>
      <c r="E19" s="1" t="s">
        <v>539</v>
      </c>
      <c r="F19" s="1"/>
      <c r="G19" s="2">
        <v>100</v>
      </c>
      <c r="H19" s="1"/>
      <c r="I19" s="1" t="s">
        <v>540</v>
      </c>
      <c r="J19" s="1" t="s">
        <v>7</v>
      </c>
      <c r="K19" s="1" t="s">
        <v>541</v>
      </c>
      <c r="L19" s="1" t="s">
        <v>9</v>
      </c>
      <c r="M19" s="1" t="s">
        <v>542</v>
      </c>
      <c r="N19" s="1" t="s">
        <v>578</v>
      </c>
      <c r="O19" s="1"/>
      <c r="P19" s="1" t="s">
        <v>543</v>
      </c>
      <c r="Q19" s="1"/>
      <c r="R19" s="1" t="s">
        <v>544</v>
      </c>
      <c r="S19" s="1"/>
      <c r="T19" s="1" t="s">
        <v>545</v>
      </c>
      <c r="U19" s="1"/>
      <c r="V19" s="1"/>
      <c r="W19" s="1" t="s">
        <v>546</v>
      </c>
      <c r="X19" s="3" t="s">
        <v>547</v>
      </c>
      <c r="Y19" s="1" t="s">
        <v>548</v>
      </c>
      <c r="Z19" s="1"/>
      <c r="AA19" s="1"/>
      <c r="AB19" s="1" t="s">
        <v>549</v>
      </c>
      <c r="AC19" s="1"/>
      <c r="AD19" s="1">
        <v>15</v>
      </c>
      <c r="AE19" s="1" t="s">
        <v>18</v>
      </c>
      <c r="AF19" s="1">
        <v>11</v>
      </c>
      <c r="AG19" s="1" t="s">
        <v>18</v>
      </c>
      <c r="AH19" s="1"/>
      <c r="AI19" s="1" t="s">
        <v>20</v>
      </c>
      <c r="AJ19" s="4">
        <v>2340</v>
      </c>
      <c r="AK19" s="5">
        <v>5870</v>
      </c>
      <c r="AL19" s="5">
        <v>5870</v>
      </c>
      <c r="AM19" s="1"/>
      <c r="AN19" s="6">
        <v>100</v>
      </c>
      <c r="AO19" s="6">
        <v>25</v>
      </c>
      <c r="AP19" s="6"/>
    </row>
    <row r="20" spans="1:42" x14ac:dyDescent="0.2">
      <c r="A20" s="1" t="s">
        <v>585</v>
      </c>
      <c r="B20" s="1" t="s">
        <v>586</v>
      </c>
      <c r="C20" s="1" t="s">
        <v>2</v>
      </c>
      <c r="D20" s="1" t="s">
        <v>538</v>
      </c>
      <c r="E20" s="1" t="s">
        <v>539</v>
      </c>
      <c r="F20" s="1"/>
      <c r="G20" s="2">
        <v>125</v>
      </c>
      <c r="H20" s="1"/>
      <c r="I20" s="1" t="s">
        <v>540</v>
      </c>
      <c r="J20" s="1" t="s">
        <v>7</v>
      </c>
      <c r="K20" s="1" t="s">
        <v>541</v>
      </c>
      <c r="L20" s="1" t="s">
        <v>9</v>
      </c>
      <c r="M20" s="1" t="s">
        <v>542</v>
      </c>
      <c r="N20" s="1" t="s">
        <v>578</v>
      </c>
      <c r="O20" s="1"/>
      <c r="P20" s="1" t="s">
        <v>543</v>
      </c>
      <c r="Q20" s="1"/>
      <c r="R20" s="1" t="s">
        <v>544</v>
      </c>
      <c r="S20" s="1"/>
      <c r="T20" s="1" t="s">
        <v>545</v>
      </c>
      <c r="U20" s="1"/>
      <c r="V20" s="1"/>
      <c r="W20" s="1" t="s">
        <v>546</v>
      </c>
      <c r="X20" s="3" t="s">
        <v>547</v>
      </c>
      <c r="Y20" s="1" t="s">
        <v>548</v>
      </c>
      <c r="Z20" s="1"/>
      <c r="AA20" s="1"/>
      <c r="AB20" s="1" t="s">
        <v>549</v>
      </c>
      <c r="AC20" s="1"/>
      <c r="AD20" s="1">
        <v>15</v>
      </c>
      <c r="AE20" s="1" t="s">
        <v>18</v>
      </c>
      <c r="AF20" s="1">
        <v>11</v>
      </c>
      <c r="AG20" s="1" t="s">
        <v>18</v>
      </c>
      <c r="AH20" s="1"/>
      <c r="AI20" s="1" t="s">
        <v>20</v>
      </c>
      <c r="AJ20" s="4">
        <v>2791</v>
      </c>
      <c r="AK20" s="5">
        <v>7085</v>
      </c>
      <c r="AL20" s="5">
        <v>7085</v>
      </c>
      <c r="AM20" s="1"/>
      <c r="AN20" s="6">
        <v>125</v>
      </c>
      <c r="AO20" s="6">
        <v>40</v>
      </c>
      <c r="AP20" s="6"/>
    </row>
    <row r="21" spans="1:42" x14ac:dyDescent="0.2">
      <c r="A21" s="1" t="s">
        <v>587</v>
      </c>
      <c r="B21" s="1" t="s">
        <v>588</v>
      </c>
      <c r="C21" s="1" t="s">
        <v>2</v>
      </c>
      <c r="D21" s="1" t="s">
        <v>538</v>
      </c>
      <c r="E21" s="1" t="s">
        <v>539</v>
      </c>
      <c r="F21" s="1"/>
      <c r="G21" s="2">
        <v>150</v>
      </c>
      <c r="H21" s="1"/>
      <c r="I21" s="1" t="s">
        <v>540</v>
      </c>
      <c r="J21" s="1" t="s">
        <v>7</v>
      </c>
      <c r="K21" s="1" t="s">
        <v>541</v>
      </c>
      <c r="L21" s="1" t="s">
        <v>9</v>
      </c>
      <c r="M21" s="1" t="s">
        <v>542</v>
      </c>
      <c r="N21" s="1" t="s">
        <v>578</v>
      </c>
      <c r="O21" s="1"/>
      <c r="P21" s="1" t="s">
        <v>543</v>
      </c>
      <c r="Q21" s="1"/>
      <c r="R21" s="1" t="s">
        <v>544</v>
      </c>
      <c r="S21" s="1"/>
      <c r="T21" s="1" t="s">
        <v>545</v>
      </c>
      <c r="U21" s="1"/>
      <c r="V21" s="1"/>
      <c r="W21" s="1" t="s">
        <v>546</v>
      </c>
      <c r="X21" s="3" t="s">
        <v>547</v>
      </c>
      <c r="Y21" s="1" t="s">
        <v>548</v>
      </c>
      <c r="Z21" s="1"/>
      <c r="AA21" s="1"/>
      <c r="AB21" s="1" t="s">
        <v>549</v>
      </c>
      <c r="AC21" s="1"/>
      <c r="AD21" s="1">
        <v>15</v>
      </c>
      <c r="AE21" s="1" t="s">
        <v>18</v>
      </c>
      <c r="AF21" s="1">
        <v>11</v>
      </c>
      <c r="AG21" s="1" t="s">
        <v>18</v>
      </c>
      <c r="AH21" s="1"/>
      <c r="AI21" s="1" t="s">
        <v>20</v>
      </c>
      <c r="AJ21" s="4">
        <v>3385</v>
      </c>
      <c r="AK21" s="5">
        <v>8540</v>
      </c>
      <c r="AL21" s="5">
        <v>8540</v>
      </c>
      <c r="AM21" s="1"/>
      <c r="AN21" s="6">
        <v>150</v>
      </c>
      <c r="AO21" s="6">
        <v>55</v>
      </c>
      <c r="AP21" s="6"/>
    </row>
    <row r="22" spans="1:42" x14ac:dyDescent="0.2">
      <c r="A22" s="1" t="s">
        <v>589</v>
      </c>
      <c r="B22" s="1" t="s">
        <v>590</v>
      </c>
      <c r="C22" s="1" t="s">
        <v>2</v>
      </c>
      <c r="D22" s="1" t="s">
        <v>538</v>
      </c>
      <c r="E22" s="1" t="s">
        <v>539</v>
      </c>
      <c r="F22" s="1"/>
      <c r="G22" s="2">
        <v>200</v>
      </c>
      <c r="H22" s="1"/>
      <c r="I22" s="1" t="s">
        <v>540</v>
      </c>
      <c r="J22" s="1" t="s">
        <v>7</v>
      </c>
      <c r="K22" s="1" t="s">
        <v>541</v>
      </c>
      <c r="L22" s="1" t="s">
        <v>9</v>
      </c>
      <c r="M22" s="1" t="s">
        <v>542</v>
      </c>
      <c r="N22" s="1" t="s">
        <v>578</v>
      </c>
      <c r="O22" s="1"/>
      <c r="P22" s="1" t="s">
        <v>543</v>
      </c>
      <c r="Q22" s="1"/>
      <c r="R22" s="1" t="s">
        <v>544</v>
      </c>
      <c r="S22" s="1"/>
      <c r="T22" s="1" t="s">
        <v>545</v>
      </c>
      <c r="U22" s="1"/>
      <c r="V22" s="1"/>
      <c r="W22" s="1" t="s">
        <v>546</v>
      </c>
      <c r="X22" s="3" t="s">
        <v>547</v>
      </c>
      <c r="Y22" s="1" t="s">
        <v>548</v>
      </c>
      <c r="Z22" s="1"/>
      <c r="AA22" s="1"/>
      <c r="AB22" s="1" t="s">
        <v>549</v>
      </c>
      <c r="AC22" s="1"/>
      <c r="AD22" s="1">
        <v>15</v>
      </c>
      <c r="AE22" s="1" t="s">
        <v>18</v>
      </c>
      <c r="AF22" s="1">
        <v>11</v>
      </c>
      <c r="AG22" s="1" t="s">
        <v>18</v>
      </c>
      <c r="AH22" s="1"/>
      <c r="AI22" s="1" t="s">
        <v>20</v>
      </c>
      <c r="AJ22" s="4">
        <v>5859</v>
      </c>
      <c r="AK22" s="5">
        <v>14404</v>
      </c>
      <c r="AL22" s="5">
        <v>14404</v>
      </c>
      <c r="AM22" s="1"/>
      <c r="AN22" s="6">
        <v>200</v>
      </c>
      <c r="AO22" s="6">
        <v>105</v>
      </c>
      <c r="AP22" s="6"/>
    </row>
    <row r="23" spans="1:42" x14ac:dyDescent="0.2">
      <c r="A23" s="1" t="s">
        <v>591</v>
      </c>
      <c r="B23" s="1" t="s">
        <v>592</v>
      </c>
      <c r="C23" s="1" t="s">
        <v>2</v>
      </c>
      <c r="D23" s="1" t="s">
        <v>538</v>
      </c>
      <c r="E23" s="1" t="s">
        <v>539</v>
      </c>
      <c r="F23" s="1"/>
      <c r="G23" s="2">
        <v>250</v>
      </c>
      <c r="H23" s="1"/>
      <c r="I23" s="1" t="s">
        <v>540</v>
      </c>
      <c r="J23" s="1" t="s">
        <v>7</v>
      </c>
      <c r="K23" s="1" t="s">
        <v>541</v>
      </c>
      <c r="L23" s="1" t="s">
        <v>9</v>
      </c>
      <c r="M23" s="1" t="s">
        <v>542</v>
      </c>
      <c r="N23" s="1" t="s">
        <v>578</v>
      </c>
      <c r="O23" s="1"/>
      <c r="P23" s="1" t="s">
        <v>543</v>
      </c>
      <c r="Q23" s="1"/>
      <c r="R23" s="1" t="s">
        <v>544</v>
      </c>
      <c r="S23" s="1"/>
      <c r="T23" s="1" t="s">
        <v>545</v>
      </c>
      <c r="U23" s="1"/>
      <c r="V23" s="1"/>
      <c r="W23" s="1" t="s">
        <v>546</v>
      </c>
      <c r="X23" s="3" t="s">
        <v>547</v>
      </c>
      <c r="Y23" s="1" t="s">
        <v>548</v>
      </c>
      <c r="Z23" s="1"/>
      <c r="AA23" s="1"/>
      <c r="AB23" s="1" t="s">
        <v>549</v>
      </c>
      <c r="AC23" s="1"/>
      <c r="AD23" s="1">
        <v>15</v>
      </c>
      <c r="AE23" s="1" t="s">
        <v>18</v>
      </c>
      <c r="AF23" s="1">
        <v>11</v>
      </c>
      <c r="AG23" s="1" t="s">
        <v>18</v>
      </c>
      <c r="AH23" s="1"/>
      <c r="AI23" s="1" t="s">
        <v>20</v>
      </c>
      <c r="AJ23" s="4">
        <v>8917</v>
      </c>
      <c r="AK23" s="5">
        <v>21784</v>
      </c>
      <c r="AL23" s="5">
        <v>21784</v>
      </c>
      <c r="AM23" s="1"/>
      <c r="AN23" s="6">
        <v>250</v>
      </c>
      <c r="AO23" s="6">
        <v>160</v>
      </c>
      <c r="AP23" s="6"/>
    </row>
    <row r="24" spans="1:42" x14ac:dyDescent="0.2">
      <c r="A24" s="1" t="s">
        <v>593</v>
      </c>
      <c r="B24" s="1" t="s">
        <v>594</v>
      </c>
      <c r="C24" s="1" t="s">
        <v>2</v>
      </c>
      <c r="D24" s="1" t="s">
        <v>538</v>
      </c>
      <c r="E24" s="1" t="s">
        <v>539</v>
      </c>
      <c r="F24" s="1"/>
      <c r="G24" s="2">
        <v>300</v>
      </c>
      <c r="H24" s="1"/>
      <c r="I24" s="1" t="s">
        <v>540</v>
      </c>
      <c r="J24" s="1" t="s">
        <v>7</v>
      </c>
      <c r="K24" s="1" t="s">
        <v>541</v>
      </c>
      <c r="L24" s="1" t="s">
        <v>9</v>
      </c>
      <c r="M24" s="1" t="s">
        <v>542</v>
      </c>
      <c r="N24" s="1" t="s">
        <v>578</v>
      </c>
      <c r="O24" s="1"/>
      <c r="P24" s="1" t="s">
        <v>543</v>
      </c>
      <c r="Q24" s="1"/>
      <c r="R24" s="1" t="s">
        <v>544</v>
      </c>
      <c r="S24" s="1"/>
      <c r="T24" s="1" t="s">
        <v>545</v>
      </c>
      <c r="U24" s="1"/>
      <c r="V24" s="1"/>
      <c r="W24" s="1" t="s">
        <v>546</v>
      </c>
      <c r="X24" s="3" t="s">
        <v>547</v>
      </c>
      <c r="Y24" s="1" t="s">
        <v>548</v>
      </c>
      <c r="Z24" s="1"/>
      <c r="AA24" s="1"/>
      <c r="AB24" s="1" t="s">
        <v>549</v>
      </c>
      <c r="AC24" s="1"/>
      <c r="AD24" s="1">
        <v>15</v>
      </c>
      <c r="AE24" s="1" t="s">
        <v>18</v>
      </c>
      <c r="AF24" s="1">
        <v>11</v>
      </c>
      <c r="AG24" s="1" t="s">
        <v>18</v>
      </c>
      <c r="AH24" s="1"/>
      <c r="AI24" s="1" t="s">
        <v>20</v>
      </c>
      <c r="AJ24" s="4">
        <v>11462</v>
      </c>
      <c r="AK24" s="5">
        <v>27387</v>
      </c>
      <c r="AL24" s="5">
        <v>27387</v>
      </c>
      <c r="AM24" s="1"/>
      <c r="AN24" s="6">
        <v>300</v>
      </c>
      <c r="AO24" s="6">
        <v>180</v>
      </c>
      <c r="AP24" s="6"/>
    </row>
    <row r="25" spans="1:42" x14ac:dyDescent="0.2">
      <c r="A25" s="1" t="s">
        <v>595</v>
      </c>
      <c r="B25" s="1" t="s">
        <v>596</v>
      </c>
      <c r="C25" s="1" t="s">
        <v>2</v>
      </c>
      <c r="D25" s="1" t="s">
        <v>538</v>
      </c>
      <c r="E25" s="1" t="s">
        <v>539</v>
      </c>
      <c r="F25" s="1"/>
      <c r="G25" s="2">
        <v>350</v>
      </c>
      <c r="H25" s="1"/>
      <c r="I25" s="1" t="s">
        <v>540</v>
      </c>
      <c r="J25" s="1" t="s">
        <v>7</v>
      </c>
      <c r="K25" s="1" t="s">
        <v>541</v>
      </c>
      <c r="L25" s="1" t="s">
        <v>9</v>
      </c>
      <c r="M25" s="1" t="s">
        <v>542</v>
      </c>
      <c r="N25" s="1" t="s">
        <v>578</v>
      </c>
      <c r="O25" s="1"/>
      <c r="P25" s="1" t="s">
        <v>543</v>
      </c>
      <c r="Q25" s="1"/>
      <c r="R25" s="1" t="s">
        <v>544</v>
      </c>
      <c r="S25" s="1"/>
      <c r="T25" s="1" t="s">
        <v>545</v>
      </c>
      <c r="U25" s="1"/>
      <c r="V25" s="1"/>
      <c r="W25" s="1" t="s">
        <v>546</v>
      </c>
      <c r="X25" s="3" t="s">
        <v>547</v>
      </c>
      <c r="Y25" s="1" t="s">
        <v>548</v>
      </c>
      <c r="Z25" s="1"/>
      <c r="AA25" s="1"/>
      <c r="AB25" s="1" t="s">
        <v>549</v>
      </c>
      <c r="AC25" s="1"/>
      <c r="AD25" s="1">
        <v>15</v>
      </c>
      <c r="AE25" s="1" t="s">
        <v>18</v>
      </c>
      <c r="AF25" s="1">
        <v>11</v>
      </c>
      <c r="AG25" s="1" t="s">
        <v>18</v>
      </c>
      <c r="AH25" s="1"/>
      <c r="AI25" s="1" t="s">
        <v>20</v>
      </c>
      <c r="AJ25" s="4" t="s">
        <v>33</v>
      </c>
      <c r="AK25" s="5" t="s">
        <v>33</v>
      </c>
      <c r="AL25" s="5" t="s">
        <v>33</v>
      </c>
      <c r="AM25" s="1"/>
      <c r="AN25" s="6">
        <v>350</v>
      </c>
      <c r="AO25" s="6">
        <v>526</v>
      </c>
      <c r="AP25" s="6"/>
    </row>
    <row r="26" spans="1:42" x14ac:dyDescent="0.2">
      <c r="A26" s="1" t="s">
        <v>597</v>
      </c>
      <c r="B26" s="1" t="s">
        <v>598</v>
      </c>
      <c r="C26" s="1" t="s">
        <v>2</v>
      </c>
      <c r="D26" s="1" t="s">
        <v>538</v>
      </c>
      <c r="E26" s="1" t="s">
        <v>539</v>
      </c>
      <c r="F26" s="1"/>
      <c r="G26" s="2">
        <v>400</v>
      </c>
      <c r="H26" s="1"/>
      <c r="I26" s="1" t="s">
        <v>540</v>
      </c>
      <c r="J26" s="1" t="s">
        <v>7</v>
      </c>
      <c r="K26" s="1" t="s">
        <v>541</v>
      </c>
      <c r="L26" s="1" t="s">
        <v>9</v>
      </c>
      <c r="M26" s="1" t="s">
        <v>542</v>
      </c>
      <c r="N26" s="1" t="s">
        <v>578</v>
      </c>
      <c r="O26" s="1"/>
      <c r="P26" s="1" t="s">
        <v>543</v>
      </c>
      <c r="Q26" s="1"/>
      <c r="R26" s="1" t="s">
        <v>544</v>
      </c>
      <c r="S26" s="1"/>
      <c r="T26" s="1" t="s">
        <v>545</v>
      </c>
      <c r="U26" s="1"/>
      <c r="V26" s="1"/>
      <c r="W26" s="1" t="s">
        <v>546</v>
      </c>
      <c r="X26" s="3" t="s">
        <v>547</v>
      </c>
      <c r="Y26" s="1" t="s">
        <v>548</v>
      </c>
      <c r="Z26" s="1"/>
      <c r="AA26" s="1"/>
      <c r="AB26" s="1" t="s">
        <v>549</v>
      </c>
      <c r="AC26" s="1"/>
      <c r="AD26" s="1">
        <v>15</v>
      </c>
      <c r="AE26" s="1" t="s">
        <v>18</v>
      </c>
      <c r="AF26" s="1">
        <v>11</v>
      </c>
      <c r="AG26" s="1" t="s">
        <v>18</v>
      </c>
      <c r="AH26" s="1"/>
      <c r="AI26" s="1" t="s">
        <v>20</v>
      </c>
      <c r="AJ26" s="4" t="s">
        <v>33</v>
      </c>
      <c r="AK26" s="5" t="s">
        <v>33</v>
      </c>
      <c r="AL26" s="5" t="s">
        <v>33</v>
      </c>
      <c r="AM26" s="1"/>
      <c r="AN26" s="6">
        <v>400</v>
      </c>
      <c r="AO26" s="6">
        <v>880</v>
      </c>
      <c r="AP26" s="6"/>
    </row>
    <row r="27" spans="1:42" x14ac:dyDescent="0.2">
      <c r="A27" s="1" t="s">
        <v>599</v>
      </c>
      <c r="B27" s="1" t="s">
        <v>600</v>
      </c>
      <c r="C27" s="1" t="s">
        <v>2</v>
      </c>
      <c r="D27" s="1" t="s">
        <v>538</v>
      </c>
      <c r="E27" s="1" t="s">
        <v>539</v>
      </c>
      <c r="F27" s="1"/>
      <c r="G27" s="2">
        <v>450</v>
      </c>
      <c r="H27" s="1"/>
      <c r="I27" s="1" t="s">
        <v>540</v>
      </c>
      <c r="J27" s="1" t="s">
        <v>7</v>
      </c>
      <c r="K27" s="1" t="s">
        <v>541</v>
      </c>
      <c r="L27" s="1" t="s">
        <v>9</v>
      </c>
      <c r="M27" s="1" t="s">
        <v>542</v>
      </c>
      <c r="N27" s="1" t="s">
        <v>578</v>
      </c>
      <c r="O27" s="1"/>
      <c r="P27" s="1" t="s">
        <v>543</v>
      </c>
      <c r="Q27" s="1"/>
      <c r="R27" s="1" t="s">
        <v>544</v>
      </c>
      <c r="S27" s="1"/>
      <c r="T27" s="1" t="s">
        <v>545</v>
      </c>
      <c r="U27" s="1"/>
      <c r="V27" s="1"/>
      <c r="W27" s="1" t="s">
        <v>546</v>
      </c>
      <c r="X27" s="3" t="s">
        <v>547</v>
      </c>
      <c r="Y27" s="1" t="s">
        <v>548</v>
      </c>
      <c r="Z27" s="1"/>
      <c r="AA27" s="1"/>
      <c r="AB27" s="1" t="s">
        <v>549</v>
      </c>
      <c r="AC27" s="1"/>
      <c r="AD27" s="1">
        <v>15</v>
      </c>
      <c r="AE27" s="1" t="s">
        <v>18</v>
      </c>
      <c r="AF27" s="1">
        <v>11</v>
      </c>
      <c r="AG27" s="1" t="s">
        <v>18</v>
      </c>
      <c r="AH27" s="1"/>
      <c r="AI27" s="1" t="s">
        <v>20</v>
      </c>
      <c r="AJ27" s="4" t="s">
        <v>33</v>
      </c>
      <c r="AK27" s="5" t="s">
        <v>33</v>
      </c>
      <c r="AL27" s="5" t="s">
        <v>33</v>
      </c>
      <c r="AM27" s="1"/>
      <c r="AN27" s="6">
        <v>450</v>
      </c>
      <c r="AO27" s="6">
        <v>1136</v>
      </c>
      <c r="AP27" s="6"/>
    </row>
    <row r="28" spans="1:42" x14ac:dyDescent="0.2">
      <c r="A28" s="1" t="s">
        <v>601</v>
      </c>
      <c r="B28" s="1" t="s">
        <v>602</v>
      </c>
      <c r="C28" s="1" t="s">
        <v>2</v>
      </c>
      <c r="D28" s="1" t="s">
        <v>538</v>
      </c>
      <c r="E28" s="1" t="s">
        <v>539</v>
      </c>
      <c r="F28" s="1"/>
      <c r="G28" s="2">
        <v>500</v>
      </c>
      <c r="H28" s="1"/>
      <c r="I28" s="1" t="s">
        <v>540</v>
      </c>
      <c r="J28" s="1" t="s">
        <v>7</v>
      </c>
      <c r="K28" s="1" t="s">
        <v>541</v>
      </c>
      <c r="L28" s="1" t="s">
        <v>9</v>
      </c>
      <c r="M28" s="1" t="s">
        <v>542</v>
      </c>
      <c r="N28" s="1" t="s">
        <v>578</v>
      </c>
      <c r="O28" s="1"/>
      <c r="P28" s="1" t="s">
        <v>543</v>
      </c>
      <c r="Q28" s="1"/>
      <c r="R28" s="1" t="s">
        <v>544</v>
      </c>
      <c r="S28" s="1"/>
      <c r="T28" s="1" t="s">
        <v>545</v>
      </c>
      <c r="U28" s="1"/>
      <c r="V28" s="1"/>
      <c r="W28" s="1" t="s">
        <v>546</v>
      </c>
      <c r="X28" s="3" t="s">
        <v>547</v>
      </c>
      <c r="Y28" s="1" t="s">
        <v>548</v>
      </c>
      <c r="Z28" s="1"/>
      <c r="AA28" s="1"/>
      <c r="AB28" s="1" t="s">
        <v>549</v>
      </c>
      <c r="AC28" s="1"/>
      <c r="AD28" s="1">
        <v>15</v>
      </c>
      <c r="AE28" s="1" t="s">
        <v>18</v>
      </c>
      <c r="AF28" s="1">
        <v>11</v>
      </c>
      <c r="AG28" s="1" t="s">
        <v>18</v>
      </c>
      <c r="AH28" s="1"/>
      <c r="AI28" s="1" t="s">
        <v>20</v>
      </c>
      <c r="AJ28" s="4" t="s">
        <v>33</v>
      </c>
      <c r="AK28" s="5" t="s">
        <v>33</v>
      </c>
      <c r="AL28" s="5" t="s">
        <v>33</v>
      </c>
      <c r="AM28" s="1"/>
      <c r="AN28" s="6">
        <v>500</v>
      </c>
      <c r="AO28" s="6">
        <v>1545</v>
      </c>
      <c r="AP28" s="6"/>
    </row>
    <row r="29" spans="1:42" x14ac:dyDescent="0.2">
      <c r="A29" s="1" t="s">
        <v>603</v>
      </c>
      <c r="B29" s="1" t="s">
        <v>604</v>
      </c>
      <c r="C29" s="1" t="s">
        <v>2</v>
      </c>
      <c r="D29" s="1" t="s">
        <v>538</v>
      </c>
      <c r="E29" s="1" t="s">
        <v>539</v>
      </c>
      <c r="F29" s="1"/>
      <c r="G29" s="2">
        <v>600</v>
      </c>
      <c r="H29" s="1"/>
      <c r="I29" s="1" t="s">
        <v>540</v>
      </c>
      <c r="J29" s="1" t="s">
        <v>7</v>
      </c>
      <c r="K29" s="1" t="s">
        <v>541</v>
      </c>
      <c r="L29" s="1" t="s">
        <v>9</v>
      </c>
      <c r="M29" s="1" t="s">
        <v>542</v>
      </c>
      <c r="N29" s="1" t="s">
        <v>578</v>
      </c>
      <c r="O29" s="1"/>
      <c r="P29" s="1" t="s">
        <v>543</v>
      </c>
      <c r="Q29" s="1"/>
      <c r="R29" s="1" t="s">
        <v>544</v>
      </c>
      <c r="S29" s="1"/>
      <c r="T29" s="1" t="s">
        <v>545</v>
      </c>
      <c r="U29" s="1"/>
      <c r="V29" s="1"/>
      <c r="W29" s="1" t="s">
        <v>546</v>
      </c>
      <c r="X29" s="3" t="s">
        <v>547</v>
      </c>
      <c r="Y29" s="1" t="s">
        <v>548</v>
      </c>
      <c r="Z29" s="1"/>
      <c r="AA29" s="1"/>
      <c r="AB29" s="1" t="s">
        <v>549</v>
      </c>
      <c r="AC29" s="1"/>
      <c r="AD29" s="1">
        <v>15</v>
      </c>
      <c r="AE29" s="1" t="s">
        <v>18</v>
      </c>
      <c r="AF29" s="1">
        <v>11</v>
      </c>
      <c r="AG29" s="1" t="s">
        <v>18</v>
      </c>
      <c r="AH29" s="1"/>
      <c r="AI29" s="1" t="s">
        <v>20</v>
      </c>
      <c r="AJ29" s="4" t="s">
        <v>33</v>
      </c>
      <c r="AK29" s="5" t="s">
        <v>33</v>
      </c>
      <c r="AL29" s="5" t="s">
        <v>33</v>
      </c>
      <c r="AM29" s="1"/>
      <c r="AN29" s="6">
        <v>600</v>
      </c>
      <c r="AO29" s="6">
        <v>2517</v>
      </c>
      <c r="AP29" s="6"/>
    </row>
    <row r="30" spans="1:42" x14ac:dyDescent="0.2">
      <c r="A30" s="1" t="s">
        <v>605</v>
      </c>
      <c r="B30" s="1" t="s">
        <v>606</v>
      </c>
      <c r="C30" s="1" t="s">
        <v>2</v>
      </c>
      <c r="D30" s="1" t="s">
        <v>538</v>
      </c>
      <c r="E30" s="1" t="s">
        <v>539</v>
      </c>
      <c r="F30" s="1"/>
      <c r="G30" s="2">
        <v>50</v>
      </c>
      <c r="H30" s="1"/>
      <c r="I30" s="1" t="s">
        <v>540</v>
      </c>
      <c r="J30" s="1" t="s">
        <v>7</v>
      </c>
      <c r="K30" s="1" t="s">
        <v>541</v>
      </c>
      <c r="L30" s="1" t="s">
        <v>9</v>
      </c>
      <c r="M30" s="1" t="s">
        <v>542</v>
      </c>
      <c r="N30" s="1" t="s">
        <v>578</v>
      </c>
      <c r="O30" s="1"/>
      <c r="P30" s="1" t="s">
        <v>607</v>
      </c>
      <c r="Q30" s="1"/>
      <c r="R30" s="1" t="s">
        <v>544</v>
      </c>
      <c r="S30" s="1"/>
      <c r="T30" s="1" t="s">
        <v>545</v>
      </c>
      <c r="U30" s="1"/>
      <c r="V30" s="1"/>
      <c r="W30" s="1" t="s">
        <v>546</v>
      </c>
      <c r="X30" s="3" t="s">
        <v>547</v>
      </c>
      <c r="Y30" s="1" t="s">
        <v>548</v>
      </c>
      <c r="Z30" s="1"/>
      <c r="AA30" s="1"/>
      <c r="AB30" s="1" t="s">
        <v>549</v>
      </c>
      <c r="AC30" s="1"/>
      <c r="AD30" s="1">
        <v>15</v>
      </c>
      <c r="AE30" s="1" t="s">
        <v>18</v>
      </c>
      <c r="AF30" s="1">
        <v>11</v>
      </c>
      <c r="AG30" s="1" t="s">
        <v>18</v>
      </c>
      <c r="AH30" s="1"/>
      <c r="AI30" s="1" t="s">
        <v>20</v>
      </c>
      <c r="AJ30" s="4">
        <v>1350</v>
      </c>
      <c r="AK30" s="5">
        <v>3572</v>
      </c>
      <c r="AL30" s="5">
        <v>3572</v>
      </c>
      <c r="AM30" s="1"/>
      <c r="AN30" s="6">
        <v>50</v>
      </c>
      <c r="AO30" s="6">
        <v>8</v>
      </c>
      <c r="AP30" s="6"/>
    </row>
    <row r="31" spans="1:42" x14ac:dyDescent="0.2">
      <c r="A31" s="1" t="s">
        <v>608</v>
      </c>
      <c r="B31" s="1" t="s">
        <v>609</v>
      </c>
      <c r="C31" s="1" t="s">
        <v>2</v>
      </c>
      <c r="D31" s="1" t="s">
        <v>538</v>
      </c>
      <c r="E31" s="1" t="s">
        <v>539</v>
      </c>
      <c r="F31" s="1"/>
      <c r="G31" s="2">
        <v>65</v>
      </c>
      <c r="H31" s="1"/>
      <c r="I31" s="1" t="s">
        <v>540</v>
      </c>
      <c r="J31" s="1" t="s">
        <v>7</v>
      </c>
      <c r="K31" s="1" t="s">
        <v>541</v>
      </c>
      <c r="L31" s="1" t="s">
        <v>9</v>
      </c>
      <c r="M31" s="1" t="s">
        <v>542</v>
      </c>
      <c r="N31" s="1" t="s">
        <v>578</v>
      </c>
      <c r="O31" s="1"/>
      <c r="P31" s="1" t="s">
        <v>607</v>
      </c>
      <c r="Q31" s="1"/>
      <c r="R31" s="1" t="s">
        <v>544</v>
      </c>
      <c r="S31" s="1"/>
      <c r="T31" s="1" t="s">
        <v>545</v>
      </c>
      <c r="U31" s="1"/>
      <c r="V31" s="1"/>
      <c r="W31" s="1" t="s">
        <v>546</v>
      </c>
      <c r="X31" s="3" t="s">
        <v>547</v>
      </c>
      <c r="Y31" s="1" t="s">
        <v>548</v>
      </c>
      <c r="Z31" s="1"/>
      <c r="AA31" s="1"/>
      <c r="AB31" s="1" t="s">
        <v>549</v>
      </c>
      <c r="AC31" s="1"/>
      <c r="AD31" s="1">
        <v>15</v>
      </c>
      <c r="AE31" s="1" t="s">
        <v>18</v>
      </c>
      <c r="AF31" s="1">
        <v>11</v>
      </c>
      <c r="AG31" s="1" t="s">
        <v>18</v>
      </c>
      <c r="AH31" s="1"/>
      <c r="AI31" s="1" t="s">
        <v>20</v>
      </c>
      <c r="AJ31" s="4">
        <v>1385</v>
      </c>
      <c r="AK31" s="5">
        <v>3660</v>
      </c>
      <c r="AL31" s="5">
        <v>3660</v>
      </c>
      <c r="AM31" s="1"/>
      <c r="AN31" s="6">
        <v>65</v>
      </c>
      <c r="AO31" s="6">
        <v>12</v>
      </c>
      <c r="AP31" s="6"/>
    </row>
    <row r="32" spans="1:42" x14ac:dyDescent="0.2">
      <c r="A32" s="1" t="s">
        <v>610</v>
      </c>
      <c r="B32" s="1" t="s">
        <v>611</v>
      </c>
      <c r="C32" s="1" t="s">
        <v>2</v>
      </c>
      <c r="D32" s="1" t="s">
        <v>538</v>
      </c>
      <c r="E32" s="1" t="s">
        <v>539</v>
      </c>
      <c r="F32" s="1"/>
      <c r="G32" s="2">
        <v>80</v>
      </c>
      <c r="H32" s="1"/>
      <c r="I32" s="1" t="s">
        <v>540</v>
      </c>
      <c r="J32" s="1" t="s">
        <v>7</v>
      </c>
      <c r="K32" s="1" t="s">
        <v>541</v>
      </c>
      <c r="L32" s="1" t="s">
        <v>9</v>
      </c>
      <c r="M32" s="1" t="s">
        <v>542</v>
      </c>
      <c r="N32" s="1" t="s">
        <v>578</v>
      </c>
      <c r="O32" s="1"/>
      <c r="P32" s="1" t="s">
        <v>607</v>
      </c>
      <c r="Q32" s="1"/>
      <c r="R32" s="1" t="s">
        <v>544</v>
      </c>
      <c r="S32" s="1"/>
      <c r="T32" s="1" t="s">
        <v>545</v>
      </c>
      <c r="U32" s="1"/>
      <c r="V32" s="1"/>
      <c r="W32" s="1" t="s">
        <v>546</v>
      </c>
      <c r="X32" s="3" t="s">
        <v>547</v>
      </c>
      <c r="Y32" s="1" t="s">
        <v>548</v>
      </c>
      <c r="Z32" s="1"/>
      <c r="AA32" s="1"/>
      <c r="AB32" s="1" t="s">
        <v>549</v>
      </c>
      <c r="AC32" s="1"/>
      <c r="AD32" s="1">
        <v>15</v>
      </c>
      <c r="AE32" s="1" t="s">
        <v>18</v>
      </c>
      <c r="AF32" s="1">
        <v>11</v>
      </c>
      <c r="AG32" s="1" t="s">
        <v>18</v>
      </c>
      <c r="AH32" s="1"/>
      <c r="AI32" s="1" t="s">
        <v>20</v>
      </c>
      <c r="AJ32" s="4">
        <v>1628</v>
      </c>
      <c r="AK32" s="5">
        <v>4043</v>
      </c>
      <c r="AL32" s="5">
        <v>4043</v>
      </c>
      <c r="AM32" s="1"/>
      <c r="AN32" s="6">
        <v>80</v>
      </c>
      <c r="AO32" s="6">
        <v>16</v>
      </c>
      <c r="AP32" s="6"/>
    </row>
    <row r="33" spans="1:42" x14ac:dyDescent="0.2">
      <c r="A33" s="1" t="s">
        <v>612</v>
      </c>
      <c r="B33" s="1" t="s">
        <v>613</v>
      </c>
      <c r="C33" s="1" t="s">
        <v>2</v>
      </c>
      <c r="D33" s="1" t="s">
        <v>538</v>
      </c>
      <c r="E33" s="1" t="s">
        <v>539</v>
      </c>
      <c r="F33" s="1"/>
      <c r="G33" s="2">
        <v>100</v>
      </c>
      <c r="H33" s="1"/>
      <c r="I33" s="1" t="s">
        <v>540</v>
      </c>
      <c r="J33" s="1" t="s">
        <v>7</v>
      </c>
      <c r="K33" s="1" t="s">
        <v>541</v>
      </c>
      <c r="L33" s="1" t="s">
        <v>9</v>
      </c>
      <c r="M33" s="1" t="s">
        <v>542</v>
      </c>
      <c r="N33" s="1" t="s">
        <v>578</v>
      </c>
      <c r="O33" s="1"/>
      <c r="P33" s="1" t="s">
        <v>607</v>
      </c>
      <c r="Q33" s="1"/>
      <c r="R33" s="1" t="s">
        <v>544</v>
      </c>
      <c r="S33" s="1"/>
      <c r="T33" s="1" t="s">
        <v>545</v>
      </c>
      <c r="U33" s="1"/>
      <c r="V33" s="1"/>
      <c r="W33" s="1" t="s">
        <v>546</v>
      </c>
      <c r="X33" s="3" t="s">
        <v>547</v>
      </c>
      <c r="Y33" s="1" t="s">
        <v>548</v>
      </c>
      <c r="Z33" s="1"/>
      <c r="AA33" s="1"/>
      <c r="AB33" s="1" t="s">
        <v>549</v>
      </c>
      <c r="AC33" s="1"/>
      <c r="AD33" s="1">
        <v>15</v>
      </c>
      <c r="AE33" s="1" t="s">
        <v>18</v>
      </c>
      <c r="AF33" s="1">
        <v>11</v>
      </c>
      <c r="AG33" s="1" t="s">
        <v>18</v>
      </c>
      <c r="AH33" s="1"/>
      <c r="AI33" s="1" t="s">
        <v>20</v>
      </c>
      <c r="AJ33" s="4">
        <v>2274</v>
      </c>
      <c r="AK33" s="5">
        <v>5546</v>
      </c>
      <c r="AL33" s="5">
        <v>5546</v>
      </c>
      <c r="AM33" s="1"/>
      <c r="AN33" s="6">
        <v>100</v>
      </c>
      <c r="AO33" s="6">
        <v>25</v>
      </c>
      <c r="AP33" s="6"/>
    </row>
    <row r="34" spans="1:42" x14ac:dyDescent="0.2">
      <c r="A34" s="1" t="s">
        <v>614</v>
      </c>
      <c r="B34" s="1" t="s">
        <v>615</v>
      </c>
      <c r="C34" s="1" t="s">
        <v>2</v>
      </c>
      <c r="D34" s="1" t="s">
        <v>538</v>
      </c>
      <c r="E34" s="1" t="s">
        <v>539</v>
      </c>
      <c r="F34" s="1"/>
      <c r="G34" s="2">
        <v>125</v>
      </c>
      <c r="H34" s="1"/>
      <c r="I34" s="1" t="s">
        <v>540</v>
      </c>
      <c r="J34" s="1" t="s">
        <v>7</v>
      </c>
      <c r="K34" s="1" t="s">
        <v>541</v>
      </c>
      <c r="L34" s="1" t="s">
        <v>9</v>
      </c>
      <c r="M34" s="1" t="s">
        <v>542</v>
      </c>
      <c r="N34" s="1" t="s">
        <v>578</v>
      </c>
      <c r="O34" s="1"/>
      <c r="P34" s="1" t="s">
        <v>607</v>
      </c>
      <c r="Q34" s="1"/>
      <c r="R34" s="1" t="s">
        <v>544</v>
      </c>
      <c r="S34" s="1"/>
      <c r="T34" s="1" t="s">
        <v>545</v>
      </c>
      <c r="U34" s="1"/>
      <c r="V34" s="1"/>
      <c r="W34" s="1" t="s">
        <v>546</v>
      </c>
      <c r="X34" s="3" t="s">
        <v>547</v>
      </c>
      <c r="Y34" s="1" t="s">
        <v>548</v>
      </c>
      <c r="Z34" s="1"/>
      <c r="AA34" s="1"/>
      <c r="AB34" s="1" t="s">
        <v>549</v>
      </c>
      <c r="AC34" s="1"/>
      <c r="AD34" s="1">
        <v>15</v>
      </c>
      <c r="AE34" s="1" t="s">
        <v>18</v>
      </c>
      <c r="AF34" s="1">
        <v>11</v>
      </c>
      <c r="AG34" s="1" t="s">
        <v>18</v>
      </c>
      <c r="AH34" s="1"/>
      <c r="AI34" s="1" t="s">
        <v>20</v>
      </c>
      <c r="AJ34" s="4">
        <v>2676</v>
      </c>
      <c r="AK34" s="5">
        <v>6652</v>
      </c>
      <c r="AL34" s="5">
        <v>6652</v>
      </c>
      <c r="AM34" s="1"/>
      <c r="AN34" s="6">
        <v>125</v>
      </c>
      <c r="AO34" s="6">
        <v>40</v>
      </c>
      <c r="AP34" s="6"/>
    </row>
    <row r="35" spans="1:42" x14ac:dyDescent="0.2">
      <c r="A35" s="1" t="s">
        <v>616</v>
      </c>
      <c r="B35" s="1" t="s">
        <v>617</v>
      </c>
      <c r="C35" s="1" t="s">
        <v>2</v>
      </c>
      <c r="D35" s="1" t="s">
        <v>538</v>
      </c>
      <c r="E35" s="1" t="s">
        <v>539</v>
      </c>
      <c r="F35" s="1"/>
      <c r="G35" s="2">
        <v>150</v>
      </c>
      <c r="H35" s="1"/>
      <c r="I35" s="1" t="s">
        <v>540</v>
      </c>
      <c r="J35" s="1" t="s">
        <v>7</v>
      </c>
      <c r="K35" s="1" t="s">
        <v>541</v>
      </c>
      <c r="L35" s="1" t="s">
        <v>9</v>
      </c>
      <c r="M35" s="1" t="s">
        <v>542</v>
      </c>
      <c r="N35" s="1" t="s">
        <v>578</v>
      </c>
      <c r="O35" s="1"/>
      <c r="P35" s="1" t="s">
        <v>607</v>
      </c>
      <c r="Q35" s="1"/>
      <c r="R35" s="1" t="s">
        <v>544</v>
      </c>
      <c r="S35" s="1"/>
      <c r="T35" s="1" t="s">
        <v>545</v>
      </c>
      <c r="U35" s="1"/>
      <c r="V35" s="1"/>
      <c r="W35" s="1" t="s">
        <v>546</v>
      </c>
      <c r="X35" s="3" t="s">
        <v>547</v>
      </c>
      <c r="Y35" s="1" t="s">
        <v>548</v>
      </c>
      <c r="Z35" s="1"/>
      <c r="AA35" s="1"/>
      <c r="AB35" s="1" t="s">
        <v>549</v>
      </c>
      <c r="AC35" s="1"/>
      <c r="AD35" s="1">
        <v>15</v>
      </c>
      <c r="AE35" s="1" t="s">
        <v>18</v>
      </c>
      <c r="AF35" s="1">
        <v>11</v>
      </c>
      <c r="AG35" s="1" t="s">
        <v>18</v>
      </c>
      <c r="AH35" s="1"/>
      <c r="AI35" s="1" t="s">
        <v>20</v>
      </c>
      <c r="AJ35" s="4">
        <v>3301</v>
      </c>
      <c r="AK35" s="5">
        <v>7951</v>
      </c>
      <c r="AL35" s="5">
        <v>7951</v>
      </c>
      <c r="AM35" s="1"/>
      <c r="AN35" s="6">
        <v>150</v>
      </c>
      <c r="AO35" s="6">
        <v>55</v>
      </c>
      <c r="AP35" s="6"/>
    </row>
    <row r="36" spans="1:42" x14ac:dyDescent="0.2">
      <c r="A36" s="1" t="s">
        <v>618</v>
      </c>
      <c r="B36" s="1" t="s">
        <v>619</v>
      </c>
      <c r="C36" s="1" t="s">
        <v>2</v>
      </c>
      <c r="D36" s="1" t="s">
        <v>538</v>
      </c>
      <c r="E36" s="1" t="s">
        <v>539</v>
      </c>
      <c r="F36" s="1"/>
      <c r="G36" s="2">
        <v>200</v>
      </c>
      <c r="H36" s="1"/>
      <c r="I36" s="1" t="s">
        <v>540</v>
      </c>
      <c r="J36" s="1" t="s">
        <v>7</v>
      </c>
      <c r="K36" s="1" t="s">
        <v>541</v>
      </c>
      <c r="L36" s="1" t="s">
        <v>9</v>
      </c>
      <c r="M36" s="1" t="s">
        <v>542</v>
      </c>
      <c r="N36" s="1" t="s">
        <v>578</v>
      </c>
      <c r="O36" s="1"/>
      <c r="P36" s="1" t="s">
        <v>607</v>
      </c>
      <c r="Q36" s="1"/>
      <c r="R36" s="1" t="s">
        <v>544</v>
      </c>
      <c r="S36" s="1"/>
      <c r="T36" s="1" t="s">
        <v>545</v>
      </c>
      <c r="U36" s="1"/>
      <c r="V36" s="1"/>
      <c r="W36" s="1" t="s">
        <v>546</v>
      </c>
      <c r="X36" s="3" t="s">
        <v>547</v>
      </c>
      <c r="Y36" s="1" t="s">
        <v>548</v>
      </c>
      <c r="Z36" s="1"/>
      <c r="AA36" s="1"/>
      <c r="AB36" s="1" t="s">
        <v>549</v>
      </c>
      <c r="AC36" s="1"/>
      <c r="AD36" s="1">
        <v>15</v>
      </c>
      <c r="AE36" s="1" t="s">
        <v>18</v>
      </c>
      <c r="AF36" s="1">
        <v>11</v>
      </c>
      <c r="AG36" s="1" t="s">
        <v>18</v>
      </c>
      <c r="AH36" s="1"/>
      <c r="AI36" s="1" t="s">
        <v>20</v>
      </c>
      <c r="AJ36" s="4">
        <v>5576</v>
      </c>
      <c r="AK36" s="5">
        <v>13629</v>
      </c>
      <c r="AL36" s="5">
        <v>13629</v>
      </c>
      <c r="AM36" s="1"/>
      <c r="AN36" s="6">
        <v>200</v>
      </c>
      <c r="AO36" s="6">
        <v>105</v>
      </c>
      <c r="AP36" s="6"/>
    </row>
    <row r="37" spans="1:42" x14ac:dyDescent="0.2">
      <c r="A37" s="1" t="s">
        <v>620</v>
      </c>
      <c r="B37" s="1" t="s">
        <v>621</v>
      </c>
      <c r="C37" s="1" t="s">
        <v>2</v>
      </c>
      <c r="D37" s="1" t="s">
        <v>538</v>
      </c>
      <c r="E37" s="1" t="s">
        <v>539</v>
      </c>
      <c r="F37" s="1"/>
      <c r="G37" s="2">
        <v>250</v>
      </c>
      <c r="H37" s="1"/>
      <c r="I37" s="1" t="s">
        <v>540</v>
      </c>
      <c r="J37" s="1" t="s">
        <v>7</v>
      </c>
      <c r="K37" s="1" t="s">
        <v>541</v>
      </c>
      <c r="L37" s="1" t="s">
        <v>9</v>
      </c>
      <c r="M37" s="1" t="s">
        <v>542</v>
      </c>
      <c r="N37" s="1" t="s">
        <v>578</v>
      </c>
      <c r="O37" s="1"/>
      <c r="P37" s="1" t="s">
        <v>607</v>
      </c>
      <c r="Q37" s="1"/>
      <c r="R37" s="1" t="s">
        <v>544</v>
      </c>
      <c r="S37" s="1"/>
      <c r="T37" s="1" t="s">
        <v>545</v>
      </c>
      <c r="U37" s="1"/>
      <c r="V37" s="1"/>
      <c r="W37" s="1" t="s">
        <v>546</v>
      </c>
      <c r="X37" s="3" t="s">
        <v>547</v>
      </c>
      <c r="Y37" s="1" t="s">
        <v>548</v>
      </c>
      <c r="Z37" s="1"/>
      <c r="AA37" s="1"/>
      <c r="AB37" s="1" t="s">
        <v>549</v>
      </c>
      <c r="AC37" s="1"/>
      <c r="AD37" s="1">
        <v>15</v>
      </c>
      <c r="AE37" s="1" t="s">
        <v>18</v>
      </c>
      <c r="AF37" s="1">
        <v>11</v>
      </c>
      <c r="AG37" s="1" t="s">
        <v>18</v>
      </c>
      <c r="AH37" s="1"/>
      <c r="AI37" s="1" t="s">
        <v>20</v>
      </c>
      <c r="AJ37" s="4">
        <v>8716</v>
      </c>
      <c r="AK37" s="5">
        <v>20715</v>
      </c>
      <c r="AL37" s="5">
        <v>20715</v>
      </c>
      <c r="AM37" s="1"/>
      <c r="AN37" s="6">
        <v>250</v>
      </c>
      <c r="AO37" s="6">
        <v>160</v>
      </c>
      <c r="AP37" s="6"/>
    </row>
    <row r="38" spans="1:42" x14ac:dyDescent="0.2">
      <c r="A38" s="1" t="s">
        <v>622</v>
      </c>
      <c r="B38" s="1" t="s">
        <v>623</v>
      </c>
      <c r="C38" s="1" t="s">
        <v>2</v>
      </c>
      <c r="D38" s="1" t="s">
        <v>538</v>
      </c>
      <c r="E38" s="1" t="s">
        <v>539</v>
      </c>
      <c r="F38" s="1"/>
      <c r="G38" s="2">
        <v>300</v>
      </c>
      <c r="H38" s="1"/>
      <c r="I38" s="1" t="s">
        <v>540</v>
      </c>
      <c r="J38" s="1" t="s">
        <v>7</v>
      </c>
      <c r="K38" s="1" t="s">
        <v>541</v>
      </c>
      <c r="L38" s="1" t="s">
        <v>9</v>
      </c>
      <c r="M38" s="1" t="s">
        <v>542</v>
      </c>
      <c r="N38" s="1" t="s">
        <v>578</v>
      </c>
      <c r="O38" s="1"/>
      <c r="P38" s="1" t="s">
        <v>607</v>
      </c>
      <c r="Q38" s="1"/>
      <c r="R38" s="1" t="s">
        <v>544</v>
      </c>
      <c r="S38" s="1"/>
      <c r="T38" s="1" t="s">
        <v>545</v>
      </c>
      <c r="U38" s="1"/>
      <c r="V38" s="1"/>
      <c r="W38" s="1" t="s">
        <v>546</v>
      </c>
      <c r="X38" s="3" t="s">
        <v>547</v>
      </c>
      <c r="Y38" s="1" t="s">
        <v>548</v>
      </c>
      <c r="Z38" s="1"/>
      <c r="AA38" s="1"/>
      <c r="AB38" s="1" t="s">
        <v>549</v>
      </c>
      <c r="AC38" s="1"/>
      <c r="AD38" s="1">
        <v>15</v>
      </c>
      <c r="AE38" s="1" t="s">
        <v>18</v>
      </c>
      <c r="AF38" s="1">
        <v>11</v>
      </c>
      <c r="AG38" s="1" t="s">
        <v>18</v>
      </c>
      <c r="AH38" s="1"/>
      <c r="AI38" s="1" t="s">
        <v>20</v>
      </c>
      <c r="AJ38" s="4">
        <v>11209</v>
      </c>
      <c r="AK38" s="5">
        <v>26065</v>
      </c>
      <c r="AL38" s="5">
        <v>26065</v>
      </c>
      <c r="AM38" s="1"/>
      <c r="AN38" s="6">
        <v>300</v>
      </c>
      <c r="AO38" s="6">
        <v>180</v>
      </c>
      <c r="AP38" s="6"/>
    </row>
    <row r="39" spans="1:42" x14ac:dyDescent="0.2">
      <c r="A39" s="1" t="s">
        <v>624</v>
      </c>
      <c r="B39" s="1" t="s">
        <v>625</v>
      </c>
      <c r="C39" s="1" t="s">
        <v>2</v>
      </c>
      <c r="D39" s="1" t="s">
        <v>538</v>
      </c>
      <c r="E39" s="1" t="s">
        <v>539</v>
      </c>
      <c r="F39" s="1"/>
      <c r="G39" s="2">
        <v>350</v>
      </c>
      <c r="H39" s="1"/>
      <c r="I39" s="1" t="s">
        <v>540</v>
      </c>
      <c r="J39" s="1" t="s">
        <v>7</v>
      </c>
      <c r="K39" s="1" t="s">
        <v>541</v>
      </c>
      <c r="L39" s="1" t="s">
        <v>9</v>
      </c>
      <c r="M39" s="1" t="s">
        <v>542</v>
      </c>
      <c r="N39" s="1" t="s">
        <v>578</v>
      </c>
      <c r="O39" s="1"/>
      <c r="P39" s="1" t="s">
        <v>607</v>
      </c>
      <c r="Q39" s="1"/>
      <c r="R39" s="1" t="s">
        <v>544</v>
      </c>
      <c r="S39" s="1"/>
      <c r="T39" s="1" t="s">
        <v>545</v>
      </c>
      <c r="U39" s="1"/>
      <c r="V39" s="1"/>
      <c r="W39" s="1" t="s">
        <v>546</v>
      </c>
      <c r="X39" s="3" t="s">
        <v>547</v>
      </c>
      <c r="Y39" s="1" t="s">
        <v>548</v>
      </c>
      <c r="Z39" s="1"/>
      <c r="AA39" s="1"/>
      <c r="AB39" s="1" t="s">
        <v>549</v>
      </c>
      <c r="AC39" s="1"/>
      <c r="AD39" s="1">
        <v>15</v>
      </c>
      <c r="AE39" s="1" t="s">
        <v>18</v>
      </c>
      <c r="AF39" s="1">
        <v>11</v>
      </c>
      <c r="AG39" s="1" t="s">
        <v>18</v>
      </c>
      <c r="AH39" s="1"/>
      <c r="AI39" s="1" t="s">
        <v>20</v>
      </c>
      <c r="AJ39" s="4" t="s">
        <v>33</v>
      </c>
      <c r="AK39" s="5" t="s">
        <v>33</v>
      </c>
      <c r="AL39" s="5" t="s">
        <v>33</v>
      </c>
      <c r="AM39" s="1"/>
      <c r="AN39" s="6">
        <v>350</v>
      </c>
      <c r="AO39" s="6">
        <v>526</v>
      </c>
      <c r="AP39" s="6"/>
    </row>
    <row r="40" spans="1:42" x14ac:dyDescent="0.2">
      <c r="A40" s="1" t="s">
        <v>626</v>
      </c>
      <c r="B40" s="1" t="s">
        <v>627</v>
      </c>
      <c r="C40" s="1" t="s">
        <v>2</v>
      </c>
      <c r="D40" s="1" t="s">
        <v>538</v>
      </c>
      <c r="E40" s="1" t="s">
        <v>539</v>
      </c>
      <c r="F40" s="1"/>
      <c r="G40" s="2">
        <v>400</v>
      </c>
      <c r="H40" s="1"/>
      <c r="I40" s="1" t="s">
        <v>540</v>
      </c>
      <c r="J40" s="1" t="s">
        <v>7</v>
      </c>
      <c r="K40" s="1" t="s">
        <v>541</v>
      </c>
      <c r="L40" s="1" t="s">
        <v>9</v>
      </c>
      <c r="M40" s="1" t="s">
        <v>542</v>
      </c>
      <c r="N40" s="1" t="s">
        <v>578</v>
      </c>
      <c r="O40" s="1"/>
      <c r="P40" s="1" t="s">
        <v>607</v>
      </c>
      <c r="Q40" s="1"/>
      <c r="R40" s="1" t="s">
        <v>544</v>
      </c>
      <c r="S40" s="1"/>
      <c r="T40" s="1" t="s">
        <v>545</v>
      </c>
      <c r="U40" s="1"/>
      <c r="V40" s="1"/>
      <c r="W40" s="1" t="s">
        <v>546</v>
      </c>
      <c r="X40" s="3" t="s">
        <v>547</v>
      </c>
      <c r="Y40" s="1" t="s">
        <v>548</v>
      </c>
      <c r="Z40" s="1"/>
      <c r="AA40" s="1"/>
      <c r="AB40" s="1" t="s">
        <v>549</v>
      </c>
      <c r="AC40" s="1"/>
      <c r="AD40" s="1">
        <v>15</v>
      </c>
      <c r="AE40" s="1" t="s">
        <v>18</v>
      </c>
      <c r="AF40" s="1">
        <v>11</v>
      </c>
      <c r="AG40" s="1" t="s">
        <v>18</v>
      </c>
      <c r="AH40" s="1"/>
      <c r="AI40" s="1" t="s">
        <v>20</v>
      </c>
      <c r="AJ40" s="4" t="s">
        <v>33</v>
      </c>
      <c r="AK40" s="5" t="s">
        <v>33</v>
      </c>
      <c r="AL40" s="5" t="s">
        <v>33</v>
      </c>
      <c r="AM40" s="1"/>
      <c r="AN40" s="6">
        <v>400</v>
      </c>
      <c r="AO40" s="6">
        <v>880</v>
      </c>
      <c r="AP40" s="6"/>
    </row>
    <row r="41" spans="1:42" x14ac:dyDescent="0.2">
      <c r="A41" s="1" t="s">
        <v>628</v>
      </c>
      <c r="B41" s="1" t="s">
        <v>629</v>
      </c>
      <c r="C41" s="1" t="s">
        <v>2</v>
      </c>
      <c r="D41" s="1" t="s">
        <v>538</v>
      </c>
      <c r="E41" s="1" t="s">
        <v>539</v>
      </c>
      <c r="F41" s="1"/>
      <c r="G41" s="2">
        <v>450</v>
      </c>
      <c r="H41" s="1"/>
      <c r="I41" s="1" t="s">
        <v>540</v>
      </c>
      <c r="J41" s="1" t="s">
        <v>7</v>
      </c>
      <c r="K41" s="1" t="s">
        <v>541</v>
      </c>
      <c r="L41" s="1" t="s">
        <v>9</v>
      </c>
      <c r="M41" s="1" t="s">
        <v>542</v>
      </c>
      <c r="N41" s="1" t="s">
        <v>578</v>
      </c>
      <c r="O41" s="1"/>
      <c r="P41" s="1" t="s">
        <v>607</v>
      </c>
      <c r="Q41" s="1"/>
      <c r="R41" s="1" t="s">
        <v>544</v>
      </c>
      <c r="S41" s="1"/>
      <c r="T41" s="1" t="s">
        <v>545</v>
      </c>
      <c r="U41" s="1"/>
      <c r="V41" s="1"/>
      <c r="W41" s="1" t="s">
        <v>546</v>
      </c>
      <c r="X41" s="3" t="s">
        <v>547</v>
      </c>
      <c r="Y41" s="1" t="s">
        <v>548</v>
      </c>
      <c r="Z41" s="1"/>
      <c r="AA41" s="1"/>
      <c r="AB41" s="1" t="s">
        <v>549</v>
      </c>
      <c r="AC41" s="1"/>
      <c r="AD41" s="1">
        <v>15</v>
      </c>
      <c r="AE41" s="1" t="s">
        <v>18</v>
      </c>
      <c r="AF41" s="1">
        <v>11</v>
      </c>
      <c r="AG41" s="1" t="s">
        <v>18</v>
      </c>
      <c r="AH41" s="1"/>
      <c r="AI41" s="1" t="s">
        <v>20</v>
      </c>
      <c r="AJ41" s="4" t="s">
        <v>33</v>
      </c>
      <c r="AK41" s="5" t="s">
        <v>33</v>
      </c>
      <c r="AL41" s="5" t="s">
        <v>33</v>
      </c>
      <c r="AM41" s="1"/>
      <c r="AN41" s="6">
        <v>450</v>
      </c>
      <c r="AO41" s="6">
        <v>1136</v>
      </c>
      <c r="AP41" s="6"/>
    </row>
    <row r="42" spans="1:42" x14ac:dyDescent="0.2">
      <c r="A42" s="1" t="s">
        <v>630</v>
      </c>
      <c r="B42" s="1" t="s">
        <v>631</v>
      </c>
      <c r="C42" s="1" t="s">
        <v>2</v>
      </c>
      <c r="D42" s="1" t="s">
        <v>538</v>
      </c>
      <c r="E42" s="1" t="s">
        <v>539</v>
      </c>
      <c r="F42" s="1"/>
      <c r="G42" s="2">
        <v>500</v>
      </c>
      <c r="H42" s="1"/>
      <c r="I42" s="1" t="s">
        <v>540</v>
      </c>
      <c r="J42" s="1" t="s">
        <v>7</v>
      </c>
      <c r="K42" s="1" t="s">
        <v>541</v>
      </c>
      <c r="L42" s="1" t="s">
        <v>9</v>
      </c>
      <c r="M42" s="1" t="s">
        <v>542</v>
      </c>
      <c r="N42" s="1" t="s">
        <v>578</v>
      </c>
      <c r="O42" s="1"/>
      <c r="P42" s="1" t="s">
        <v>607</v>
      </c>
      <c r="Q42" s="1"/>
      <c r="R42" s="1" t="s">
        <v>544</v>
      </c>
      <c r="S42" s="1"/>
      <c r="T42" s="1" t="s">
        <v>545</v>
      </c>
      <c r="U42" s="1"/>
      <c r="V42" s="1"/>
      <c r="W42" s="1" t="s">
        <v>546</v>
      </c>
      <c r="X42" s="3" t="s">
        <v>547</v>
      </c>
      <c r="Y42" s="1" t="s">
        <v>548</v>
      </c>
      <c r="Z42" s="1"/>
      <c r="AA42" s="1"/>
      <c r="AB42" s="1" t="s">
        <v>549</v>
      </c>
      <c r="AC42" s="1"/>
      <c r="AD42" s="1">
        <v>15</v>
      </c>
      <c r="AE42" s="1" t="s">
        <v>18</v>
      </c>
      <c r="AF42" s="1">
        <v>11</v>
      </c>
      <c r="AG42" s="1" t="s">
        <v>18</v>
      </c>
      <c r="AH42" s="1"/>
      <c r="AI42" s="1" t="s">
        <v>20</v>
      </c>
      <c r="AJ42" s="4" t="s">
        <v>33</v>
      </c>
      <c r="AK42" s="5" t="s">
        <v>33</v>
      </c>
      <c r="AL42" s="5" t="s">
        <v>33</v>
      </c>
      <c r="AM42" s="1"/>
      <c r="AN42" s="6">
        <v>500</v>
      </c>
      <c r="AO42" s="6">
        <v>1545</v>
      </c>
      <c r="AP42" s="6"/>
    </row>
    <row r="43" spans="1:42" x14ac:dyDescent="0.2">
      <c r="A43" s="1" t="s">
        <v>632</v>
      </c>
      <c r="B43" s="1" t="s">
        <v>633</v>
      </c>
      <c r="C43" s="1" t="s">
        <v>2</v>
      </c>
      <c r="D43" s="1" t="s">
        <v>538</v>
      </c>
      <c r="E43" s="1" t="s">
        <v>539</v>
      </c>
      <c r="F43" s="1"/>
      <c r="G43" s="2">
        <v>600</v>
      </c>
      <c r="H43" s="1"/>
      <c r="I43" s="1" t="s">
        <v>540</v>
      </c>
      <c r="J43" s="1" t="s">
        <v>7</v>
      </c>
      <c r="K43" s="1" t="s">
        <v>541</v>
      </c>
      <c r="L43" s="1" t="s">
        <v>9</v>
      </c>
      <c r="M43" s="1" t="s">
        <v>542</v>
      </c>
      <c r="N43" s="1" t="s">
        <v>578</v>
      </c>
      <c r="O43" s="1"/>
      <c r="P43" s="1" t="s">
        <v>607</v>
      </c>
      <c r="Q43" s="1"/>
      <c r="R43" s="1" t="s">
        <v>544</v>
      </c>
      <c r="S43" s="1"/>
      <c r="T43" s="1" t="s">
        <v>545</v>
      </c>
      <c r="U43" s="1"/>
      <c r="V43" s="1"/>
      <c r="W43" s="1" t="s">
        <v>546</v>
      </c>
      <c r="X43" s="3" t="s">
        <v>547</v>
      </c>
      <c r="Y43" s="1" t="s">
        <v>548</v>
      </c>
      <c r="Z43" s="1"/>
      <c r="AA43" s="1"/>
      <c r="AB43" s="1" t="s">
        <v>549</v>
      </c>
      <c r="AC43" s="1"/>
      <c r="AD43" s="1">
        <v>15</v>
      </c>
      <c r="AE43" s="1" t="s">
        <v>18</v>
      </c>
      <c r="AF43" s="1">
        <v>11</v>
      </c>
      <c r="AG43" s="1" t="s">
        <v>18</v>
      </c>
      <c r="AH43" s="1"/>
      <c r="AI43" s="1" t="s">
        <v>20</v>
      </c>
      <c r="AJ43" s="4" t="s">
        <v>33</v>
      </c>
      <c r="AK43" s="5" t="s">
        <v>33</v>
      </c>
      <c r="AL43" s="5" t="s">
        <v>33</v>
      </c>
      <c r="AM43" s="1"/>
      <c r="AN43" s="6">
        <v>600</v>
      </c>
      <c r="AO43" s="6">
        <v>2517</v>
      </c>
      <c r="AP43" s="6"/>
    </row>
  </sheetData>
  <conditionalFormatting sqref="A1">
    <cfRule type="duplicateValues" dxfId="3" priority="2"/>
  </conditionalFormatting>
  <conditionalFormatting sqref="B1:B43">
    <cfRule type="duplicateValues" dxfId="2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0"/>
  <sheetViews>
    <sheetView workbookViewId="0">
      <selection activeCell="E2" sqref="E2"/>
    </sheetView>
  </sheetViews>
  <sheetFormatPr baseColWidth="10" defaultColWidth="8.83203125" defaultRowHeight="15" x14ac:dyDescent="0.2"/>
  <sheetData>
    <row r="1" spans="1:41" x14ac:dyDescent="0.2">
      <c r="A1" s="8" t="s">
        <v>85</v>
      </c>
      <c r="B1" s="9" t="s">
        <v>86</v>
      </c>
      <c r="C1" s="8" t="s">
        <v>87</v>
      </c>
      <c r="D1" s="8" t="s">
        <v>88</v>
      </c>
      <c r="E1" s="8" t="s">
        <v>89</v>
      </c>
      <c r="F1" s="8" t="s">
        <v>90</v>
      </c>
      <c r="G1" s="10" t="s">
        <v>91</v>
      </c>
      <c r="H1" s="10" t="s">
        <v>92</v>
      </c>
      <c r="I1" s="8" t="s">
        <v>93</v>
      </c>
      <c r="J1" s="8" t="s">
        <v>94</v>
      </c>
      <c r="K1" s="8" t="s">
        <v>95</v>
      </c>
      <c r="L1" s="8" t="s">
        <v>96</v>
      </c>
      <c r="M1" s="8" t="s">
        <v>97</v>
      </c>
      <c r="N1" s="8" t="s">
        <v>98</v>
      </c>
      <c r="O1" s="8" t="s">
        <v>99</v>
      </c>
      <c r="P1" s="8" t="s">
        <v>100</v>
      </c>
      <c r="Q1" s="11" t="s">
        <v>101</v>
      </c>
      <c r="R1" s="8" t="s">
        <v>102</v>
      </c>
      <c r="S1" s="12" t="s">
        <v>103</v>
      </c>
      <c r="T1" s="12" t="s">
        <v>104</v>
      </c>
      <c r="U1" s="12" t="s">
        <v>105</v>
      </c>
      <c r="V1" s="12" t="s">
        <v>106</v>
      </c>
      <c r="W1" s="12" t="s">
        <v>107</v>
      </c>
      <c r="X1" s="13" t="s">
        <v>108</v>
      </c>
      <c r="Y1" s="13" t="s">
        <v>109</v>
      </c>
      <c r="Z1" s="14" t="s">
        <v>110</v>
      </c>
      <c r="AA1" s="12" t="s">
        <v>111</v>
      </c>
      <c r="AB1" s="12" t="s">
        <v>112</v>
      </c>
      <c r="AC1" s="12" t="s">
        <v>113</v>
      </c>
      <c r="AD1" s="15" t="s">
        <v>114</v>
      </c>
      <c r="AE1" s="12" t="s">
        <v>115</v>
      </c>
      <c r="AF1" s="15" t="s">
        <v>116</v>
      </c>
      <c r="AG1" s="12" t="s">
        <v>117</v>
      </c>
      <c r="AH1" s="12" t="s">
        <v>118</v>
      </c>
      <c r="AI1" s="12" t="s">
        <v>119</v>
      </c>
      <c r="AJ1" s="16" t="s">
        <v>120</v>
      </c>
      <c r="AK1" s="7" t="s">
        <v>121</v>
      </c>
      <c r="AL1" s="7" t="s">
        <v>122</v>
      </c>
      <c r="AM1" s="1" t="s">
        <v>123</v>
      </c>
      <c r="AN1" s="17" t="s">
        <v>124</v>
      </c>
      <c r="AO1" s="17" t="s">
        <v>125</v>
      </c>
    </row>
    <row r="2" spans="1:41" x14ac:dyDescent="0.2">
      <c r="A2" s="1" t="s">
        <v>634</v>
      </c>
      <c r="B2" s="1" t="s">
        <v>635</v>
      </c>
      <c r="C2" s="1" t="s">
        <v>2</v>
      </c>
      <c r="D2" s="1" t="s">
        <v>538</v>
      </c>
      <c r="E2" s="1" t="s">
        <v>539</v>
      </c>
      <c r="F2" s="1"/>
      <c r="G2" s="2">
        <v>50</v>
      </c>
      <c r="H2" s="1"/>
      <c r="I2" s="1" t="s">
        <v>540</v>
      </c>
      <c r="J2" s="1" t="s">
        <v>7</v>
      </c>
      <c r="K2" s="1" t="s">
        <v>636</v>
      </c>
      <c r="L2" s="1" t="s">
        <v>9</v>
      </c>
      <c r="M2" s="1" t="s">
        <v>637</v>
      </c>
      <c r="N2" s="1" t="s">
        <v>638</v>
      </c>
      <c r="O2" s="1"/>
      <c r="P2" s="1" t="s">
        <v>607</v>
      </c>
      <c r="Q2" s="1"/>
      <c r="R2" s="1" t="s">
        <v>544</v>
      </c>
      <c r="S2" s="1"/>
      <c r="T2" s="1" t="s">
        <v>545</v>
      </c>
      <c r="U2" s="1"/>
      <c r="V2" s="1"/>
      <c r="W2" s="1" t="s">
        <v>639</v>
      </c>
      <c r="X2" s="3" t="s">
        <v>547</v>
      </c>
      <c r="Y2" s="1" t="s">
        <v>548</v>
      </c>
      <c r="Z2" s="1"/>
      <c r="AA2" s="1"/>
      <c r="AB2" s="1" t="s">
        <v>549</v>
      </c>
      <c r="AC2" s="1"/>
      <c r="AD2" s="1">
        <v>24</v>
      </c>
      <c r="AE2" s="1" t="s">
        <v>18</v>
      </c>
      <c r="AF2" s="1">
        <v>17.600000000000001</v>
      </c>
      <c r="AG2" s="1" t="s">
        <v>18</v>
      </c>
      <c r="AH2" s="1"/>
      <c r="AI2" s="1" t="s">
        <v>20</v>
      </c>
      <c r="AJ2" s="4">
        <v>1442</v>
      </c>
      <c r="AK2" s="5">
        <v>3597</v>
      </c>
      <c r="AL2" s="5">
        <v>3597</v>
      </c>
      <c r="AM2" s="1"/>
      <c r="AN2" s="6">
        <v>50</v>
      </c>
      <c r="AO2" s="6">
        <v>8</v>
      </c>
    </row>
    <row r="3" spans="1:41" x14ac:dyDescent="0.2">
      <c r="A3" s="1" t="s">
        <v>640</v>
      </c>
      <c r="B3" s="1" t="s">
        <v>641</v>
      </c>
      <c r="C3" s="1" t="s">
        <v>2</v>
      </c>
      <c r="D3" s="1" t="s">
        <v>538</v>
      </c>
      <c r="E3" s="1" t="s">
        <v>539</v>
      </c>
      <c r="F3" s="1"/>
      <c r="G3" s="2">
        <v>65</v>
      </c>
      <c r="H3" s="1"/>
      <c r="I3" s="1" t="s">
        <v>540</v>
      </c>
      <c r="J3" s="1" t="s">
        <v>7</v>
      </c>
      <c r="K3" s="1" t="s">
        <v>636</v>
      </c>
      <c r="L3" s="1" t="s">
        <v>9</v>
      </c>
      <c r="M3" s="1" t="s">
        <v>637</v>
      </c>
      <c r="N3" s="1" t="s">
        <v>638</v>
      </c>
      <c r="O3" s="1"/>
      <c r="P3" s="1" t="s">
        <v>607</v>
      </c>
      <c r="Q3" s="1"/>
      <c r="R3" s="1" t="s">
        <v>544</v>
      </c>
      <c r="S3" s="1"/>
      <c r="T3" s="1" t="s">
        <v>545</v>
      </c>
      <c r="U3" s="1"/>
      <c r="V3" s="1"/>
      <c r="W3" s="1" t="s">
        <v>639</v>
      </c>
      <c r="X3" s="3" t="s">
        <v>547</v>
      </c>
      <c r="Y3" s="1" t="s">
        <v>548</v>
      </c>
      <c r="Z3" s="1"/>
      <c r="AA3" s="1"/>
      <c r="AB3" s="1" t="s">
        <v>549</v>
      </c>
      <c r="AC3" s="1"/>
      <c r="AD3" s="1">
        <v>24</v>
      </c>
      <c r="AE3" s="1" t="s">
        <v>18</v>
      </c>
      <c r="AF3" s="1">
        <v>17.600000000000001</v>
      </c>
      <c r="AG3" s="1" t="s">
        <v>18</v>
      </c>
      <c r="AH3" s="1"/>
      <c r="AI3" s="1" t="s">
        <v>20</v>
      </c>
      <c r="AJ3" s="4">
        <v>1531</v>
      </c>
      <c r="AK3" s="5">
        <v>3845</v>
      </c>
      <c r="AL3" s="5">
        <v>3845</v>
      </c>
      <c r="AM3" s="1"/>
      <c r="AN3" s="6">
        <v>65</v>
      </c>
      <c r="AO3" s="6">
        <v>15</v>
      </c>
    </row>
    <row r="4" spans="1:41" x14ac:dyDescent="0.2">
      <c r="A4" s="1" t="s">
        <v>642</v>
      </c>
      <c r="B4" s="1" t="s">
        <v>643</v>
      </c>
      <c r="C4" s="1" t="s">
        <v>2</v>
      </c>
      <c r="D4" s="1" t="s">
        <v>538</v>
      </c>
      <c r="E4" s="1" t="s">
        <v>539</v>
      </c>
      <c r="F4" s="1"/>
      <c r="G4" s="2">
        <v>80</v>
      </c>
      <c r="H4" s="1"/>
      <c r="I4" s="1" t="s">
        <v>540</v>
      </c>
      <c r="J4" s="1" t="s">
        <v>7</v>
      </c>
      <c r="K4" s="1" t="s">
        <v>636</v>
      </c>
      <c r="L4" s="1" t="s">
        <v>9</v>
      </c>
      <c r="M4" s="1" t="s">
        <v>637</v>
      </c>
      <c r="N4" s="1" t="s">
        <v>638</v>
      </c>
      <c r="O4" s="1"/>
      <c r="P4" s="1" t="s">
        <v>607</v>
      </c>
      <c r="Q4" s="1"/>
      <c r="R4" s="1" t="s">
        <v>544</v>
      </c>
      <c r="S4" s="1"/>
      <c r="T4" s="1" t="s">
        <v>545</v>
      </c>
      <c r="U4" s="1"/>
      <c r="V4" s="1"/>
      <c r="W4" s="1" t="s">
        <v>639</v>
      </c>
      <c r="X4" s="3" t="s">
        <v>547</v>
      </c>
      <c r="Y4" s="1" t="s">
        <v>548</v>
      </c>
      <c r="Z4" s="1"/>
      <c r="AA4" s="1"/>
      <c r="AB4" s="1" t="s">
        <v>549</v>
      </c>
      <c r="AC4" s="1"/>
      <c r="AD4" s="1">
        <v>24</v>
      </c>
      <c r="AE4" s="1" t="s">
        <v>18</v>
      </c>
      <c r="AF4" s="1">
        <v>17.600000000000001</v>
      </c>
      <c r="AG4" s="1" t="s">
        <v>18</v>
      </c>
      <c r="AH4" s="1"/>
      <c r="AI4" s="1" t="s">
        <v>20</v>
      </c>
      <c r="AJ4" s="4">
        <v>1731</v>
      </c>
      <c r="AK4" s="5">
        <v>4286</v>
      </c>
      <c r="AL4" s="5">
        <v>4286</v>
      </c>
      <c r="AM4" s="1"/>
      <c r="AN4" s="6">
        <v>80</v>
      </c>
      <c r="AO4" s="6">
        <v>18</v>
      </c>
    </row>
    <row r="5" spans="1:41" x14ac:dyDescent="0.2">
      <c r="A5" s="1" t="s">
        <v>644</v>
      </c>
      <c r="B5" s="1" t="s">
        <v>645</v>
      </c>
      <c r="C5" s="1" t="s">
        <v>2</v>
      </c>
      <c r="D5" s="1" t="s">
        <v>538</v>
      </c>
      <c r="E5" s="1" t="s">
        <v>539</v>
      </c>
      <c r="F5" s="1"/>
      <c r="G5" s="2">
        <v>100</v>
      </c>
      <c r="H5" s="1"/>
      <c r="I5" s="1" t="s">
        <v>540</v>
      </c>
      <c r="J5" s="1" t="s">
        <v>7</v>
      </c>
      <c r="K5" s="1" t="s">
        <v>636</v>
      </c>
      <c r="L5" s="1" t="s">
        <v>9</v>
      </c>
      <c r="M5" s="1" t="s">
        <v>637</v>
      </c>
      <c r="N5" s="1" t="s">
        <v>638</v>
      </c>
      <c r="O5" s="1"/>
      <c r="P5" s="1" t="s">
        <v>607</v>
      </c>
      <c r="Q5" s="1"/>
      <c r="R5" s="1" t="s">
        <v>544</v>
      </c>
      <c r="S5" s="1"/>
      <c r="T5" s="1" t="s">
        <v>545</v>
      </c>
      <c r="U5" s="1"/>
      <c r="V5" s="1"/>
      <c r="W5" s="1" t="s">
        <v>639</v>
      </c>
      <c r="X5" s="3" t="s">
        <v>547</v>
      </c>
      <c r="Y5" s="1" t="s">
        <v>548</v>
      </c>
      <c r="Z5" s="1"/>
      <c r="AA5" s="1"/>
      <c r="AB5" s="1" t="s">
        <v>549</v>
      </c>
      <c r="AC5" s="1"/>
      <c r="AD5" s="1">
        <v>24</v>
      </c>
      <c r="AE5" s="1" t="s">
        <v>18</v>
      </c>
      <c r="AF5" s="1">
        <v>17.600000000000001</v>
      </c>
      <c r="AG5" s="1" t="s">
        <v>18</v>
      </c>
      <c r="AH5" s="1"/>
      <c r="AI5" s="1" t="s">
        <v>20</v>
      </c>
      <c r="AJ5" s="4">
        <v>2513</v>
      </c>
      <c r="AK5" s="5">
        <v>5864</v>
      </c>
      <c r="AL5" s="5">
        <v>5864</v>
      </c>
      <c r="AM5" s="1"/>
      <c r="AN5" s="6">
        <v>100</v>
      </c>
      <c r="AO5" s="6">
        <v>30</v>
      </c>
    </row>
    <row r="6" spans="1:41" x14ac:dyDescent="0.2">
      <c r="A6" s="1" t="s">
        <v>646</v>
      </c>
      <c r="B6" s="1" t="s">
        <v>647</v>
      </c>
      <c r="C6" s="1" t="s">
        <v>2</v>
      </c>
      <c r="D6" s="1" t="s">
        <v>538</v>
      </c>
      <c r="E6" s="1" t="s">
        <v>539</v>
      </c>
      <c r="F6" s="1"/>
      <c r="G6" s="2">
        <v>125</v>
      </c>
      <c r="H6" s="1"/>
      <c r="I6" s="1" t="s">
        <v>540</v>
      </c>
      <c r="J6" s="1" t="s">
        <v>7</v>
      </c>
      <c r="K6" s="1" t="s">
        <v>636</v>
      </c>
      <c r="L6" s="1" t="s">
        <v>9</v>
      </c>
      <c r="M6" s="1" t="s">
        <v>637</v>
      </c>
      <c r="N6" s="1" t="s">
        <v>638</v>
      </c>
      <c r="O6" s="1"/>
      <c r="P6" s="1" t="s">
        <v>607</v>
      </c>
      <c r="Q6" s="1"/>
      <c r="R6" s="1" t="s">
        <v>544</v>
      </c>
      <c r="S6" s="1"/>
      <c r="T6" s="1" t="s">
        <v>545</v>
      </c>
      <c r="U6" s="1"/>
      <c r="V6" s="1"/>
      <c r="W6" s="1" t="s">
        <v>639</v>
      </c>
      <c r="X6" s="3" t="s">
        <v>547</v>
      </c>
      <c r="Y6" s="1" t="s">
        <v>548</v>
      </c>
      <c r="Z6" s="1"/>
      <c r="AA6" s="1"/>
      <c r="AB6" s="1" t="s">
        <v>549</v>
      </c>
      <c r="AC6" s="1"/>
      <c r="AD6" s="1">
        <v>24</v>
      </c>
      <c r="AE6" s="1" t="s">
        <v>18</v>
      </c>
      <c r="AF6" s="1">
        <v>17.600000000000001</v>
      </c>
      <c r="AG6" s="1" t="s">
        <v>18</v>
      </c>
      <c r="AH6" s="1"/>
      <c r="AI6" s="1" t="s">
        <v>20</v>
      </c>
      <c r="AJ6" s="4">
        <v>2928</v>
      </c>
      <c r="AK6" s="5">
        <v>7103</v>
      </c>
      <c r="AL6" s="5">
        <v>7103</v>
      </c>
      <c r="AM6" s="1"/>
      <c r="AN6" s="6">
        <v>125</v>
      </c>
      <c r="AO6" s="6">
        <v>46</v>
      </c>
    </row>
    <row r="7" spans="1:41" x14ac:dyDescent="0.2">
      <c r="A7" s="1" t="s">
        <v>648</v>
      </c>
      <c r="B7" s="1" t="s">
        <v>649</v>
      </c>
      <c r="C7" s="1" t="s">
        <v>2</v>
      </c>
      <c r="D7" s="1" t="s">
        <v>538</v>
      </c>
      <c r="E7" s="1" t="s">
        <v>539</v>
      </c>
      <c r="F7" s="1"/>
      <c r="G7" s="2">
        <v>150</v>
      </c>
      <c r="H7" s="1"/>
      <c r="I7" s="1" t="s">
        <v>540</v>
      </c>
      <c r="J7" s="1" t="s">
        <v>7</v>
      </c>
      <c r="K7" s="1" t="s">
        <v>636</v>
      </c>
      <c r="L7" s="1" t="s">
        <v>9</v>
      </c>
      <c r="M7" s="1" t="s">
        <v>637</v>
      </c>
      <c r="N7" s="1" t="s">
        <v>638</v>
      </c>
      <c r="O7" s="1"/>
      <c r="P7" s="1" t="s">
        <v>607</v>
      </c>
      <c r="Q7" s="1"/>
      <c r="R7" s="1" t="s">
        <v>544</v>
      </c>
      <c r="S7" s="1"/>
      <c r="T7" s="1" t="s">
        <v>545</v>
      </c>
      <c r="U7" s="1"/>
      <c r="V7" s="1"/>
      <c r="W7" s="1" t="s">
        <v>639</v>
      </c>
      <c r="X7" s="3" t="s">
        <v>547</v>
      </c>
      <c r="Y7" s="1" t="s">
        <v>548</v>
      </c>
      <c r="Z7" s="1"/>
      <c r="AA7" s="1"/>
      <c r="AB7" s="1" t="s">
        <v>549</v>
      </c>
      <c r="AC7" s="1"/>
      <c r="AD7" s="1">
        <v>24</v>
      </c>
      <c r="AE7" s="1" t="s">
        <v>18</v>
      </c>
      <c r="AF7" s="1">
        <v>17.600000000000001</v>
      </c>
      <c r="AG7" s="1" t="s">
        <v>18</v>
      </c>
      <c r="AH7" s="1"/>
      <c r="AI7" s="1" t="s">
        <v>20</v>
      </c>
      <c r="AJ7" s="4">
        <v>4177</v>
      </c>
      <c r="AK7" s="5">
        <v>8635</v>
      </c>
      <c r="AL7" s="5">
        <v>8635</v>
      </c>
      <c r="AM7" s="1"/>
      <c r="AN7" s="6">
        <v>150</v>
      </c>
      <c r="AO7" s="6">
        <v>69</v>
      </c>
    </row>
    <row r="8" spans="1:41" x14ac:dyDescent="0.2">
      <c r="A8" s="1" t="s">
        <v>650</v>
      </c>
      <c r="B8" s="1" t="s">
        <v>651</v>
      </c>
      <c r="C8" s="1" t="s">
        <v>2</v>
      </c>
      <c r="D8" s="1" t="s">
        <v>538</v>
      </c>
      <c r="E8" s="1" t="s">
        <v>539</v>
      </c>
      <c r="F8" s="1"/>
      <c r="G8" s="2">
        <v>200</v>
      </c>
      <c r="H8" s="1"/>
      <c r="I8" s="1" t="s">
        <v>540</v>
      </c>
      <c r="J8" s="1" t="s">
        <v>7</v>
      </c>
      <c r="K8" s="1" t="s">
        <v>636</v>
      </c>
      <c r="L8" s="1" t="s">
        <v>9</v>
      </c>
      <c r="M8" s="1" t="s">
        <v>637</v>
      </c>
      <c r="N8" s="1" t="s">
        <v>638</v>
      </c>
      <c r="O8" s="1"/>
      <c r="P8" s="1" t="s">
        <v>607</v>
      </c>
      <c r="Q8" s="1"/>
      <c r="R8" s="1" t="s">
        <v>544</v>
      </c>
      <c r="S8" s="1"/>
      <c r="T8" s="1" t="s">
        <v>545</v>
      </c>
      <c r="U8" s="1"/>
      <c r="V8" s="1"/>
      <c r="W8" s="1" t="s">
        <v>639</v>
      </c>
      <c r="X8" s="3" t="s">
        <v>547</v>
      </c>
      <c r="Y8" s="1" t="s">
        <v>548</v>
      </c>
      <c r="Z8" s="1"/>
      <c r="AA8" s="1"/>
      <c r="AB8" s="1" t="s">
        <v>549</v>
      </c>
      <c r="AC8" s="1"/>
      <c r="AD8" s="1">
        <v>24</v>
      </c>
      <c r="AE8" s="1" t="s">
        <v>18</v>
      </c>
      <c r="AF8" s="1">
        <v>17.600000000000001</v>
      </c>
      <c r="AG8" s="1" t="s">
        <v>18</v>
      </c>
      <c r="AH8" s="1"/>
      <c r="AI8" s="1" t="s">
        <v>20</v>
      </c>
      <c r="AJ8" s="4">
        <v>6333</v>
      </c>
      <c r="AK8" s="5">
        <v>15665</v>
      </c>
      <c r="AL8" s="5">
        <v>15665</v>
      </c>
      <c r="AM8" s="1"/>
      <c r="AN8" s="6">
        <v>200</v>
      </c>
      <c r="AO8" s="6">
        <v>122</v>
      </c>
    </row>
    <row r="9" spans="1:41" x14ac:dyDescent="0.2">
      <c r="A9" s="1" t="s">
        <v>652</v>
      </c>
      <c r="B9" s="1" t="s">
        <v>653</v>
      </c>
      <c r="C9" s="1" t="s">
        <v>2</v>
      </c>
      <c r="D9" s="1" t="s">
        <v>538</v>
      </c>
      <c r="E9" s="1" t="s">
        <v>539</v>
      </c>
      <c r="F9" s="1"/>
      <c r="G9" s="2">
        <v>250</v>
      </c>
      <c r="H9" s="1"/>
      <c r="I9" s="1" t="s">
        <v>540</v>
      </c>
      <c r="J9" s="1" t="s">
        <v>7</v>
      </c>
      <c r="K9" s="1" t="s">
        <v>636</v>
      </c>
      <c r="L9" s="1" t="s">
        <v>9</v>
      </c>
      <c r="M9" s="1" t="s">
        <v>637</v>
      </c>
      <c r="N9" s="1" t="s">
        <v>638</v>
      </c>
      <c r="O9" s="1"/>
      <c r="P9" s="1" t="s">
        <v>607</v>
      </c>
      <c r="Q9" s="1"/>
      <c r="R9" s="1" t="s">
        <v>544</v>
      </c>
      <c r="S9" s="1"/>
      <c r="T9" s="1" t="s">
        <v>545</v>
      </c>
      <c r="U9" s="1"/>
      <c r="V9" s="1"/>
      <c r="W9" s="1" t="s">
        <v>639</v>
      </c>
      <c r="X9" s="3" t="s">
        <v>547</v>
      </c>
      <c r="Y9" s="1" t="s">
        <v>548</v>
      </c>
      <c r="Z9" s="1"/>
      <c r="AA9" s="1"/>
      <c r="AB9" s="1" t="s">
        <v>549</v>
      </c>
      <c r="AC9" s="1"/>
      <c r="AD9" s="1">
        <v>24</v>
      </c>
      <c r="AE9" s="1" t="s">
        <v>18</v>
      </c>
      <c r="AF9" s="1">
        <v>17.600000000000001</v>
      </c>
      <c r="AG9" s="1" t="s">
        <v>18</v>
      </c>
      <c r="AH9" s="1"/>
      <c r="AI9" s="1" t="s">
        <v>20</v>
      </c>
      <c r="AJ9" s="4">
        <v>9432</v>
      </c>
      <c r="AK9" s="5">
        <v>22549</v>
      </c>
      <c r="AL9" s="5">
        <v>22549</v>
      </c>
      <c r="AM9" s="1"/>
      <c r="AN9" s="6">
        <v>250</v>
      </c>
      <c r="AO9" s="6">
        <v>240</v>
      </c>
    </row>
    <row r="10" spans="1:41" x14ac:dyDescent="0.2">
      <c r="A10" s="1" t="s">
        <v>654</v>
      </c>
      <c r="B10" s="1" t="s">
        <v>655</v>
      </c>
      <c r="C10" s="1" t="s">
        <v>2</v>
      </c>
      <c r="D10" s="1" t="s">
        <v>538</v>
      </c>
      <c r="E10" s="1" t="s">
        <v>539</v>
      </c>
      <c r="F10" s="1"/>
      <c r="G10" s="2">
        <v>300</v>
      </c>
      <c r="H10" s="1"/>
      <c r="I10" s="1" t="s">
        <v>540</v>
      </c>
      <c r="J10" s="1" t="s">
        <v>7</v>
      </c>
      <c r="K10" s="1" t="s">
        <v>636</v>
      </c>
      <c r="L10" s="1" t="s">
        <v>9</v>
      </c>
      <c r="M10" s="1" t="s">
        <v>637</v>
      </c>
      <c r="N10" s="1" t="s">
        <v>638</v>
      </c>
      <c r="O10" s="1"/>
      <c r="P10" s="1" t="s">
        <v>607</v>
      </c>
      <c r="Q10" s="1"/>
      <c r="R10" s="1" t="s">
        <v>544</v>
      </c>
      <c r="S10" s="1"/>
      <c r="T10" s="1" t="s">
        <v>545</v>
      </c>
      <c r="U10" s="1"/>
      <c r="V10" s="1"/>
      <c r="W10" s="1" t="s">
        <v>639</v>
      </c>
      <c r="X10" s="3" t="s">
        <v>547</v>
      </c>
      <c r="Y10" s="1" t="s">
        <v>548</v>
      </c>
      <c r="Z10" s="1"/>
      <c r="AA10" s="1"/>
      <c r="AB10" s="1" t="s">
        <v>549</v>
      </c>
      <c r="AC10" s="1"/>
      <c r="AD10" s="1">
        <v>24</v>
      </c>
      <c r="AE10" s="1" t="s">
        <v>18</v>
      </c>
      <c r="AF10" s="1">
        <v>17.600000000000001</v>
      </c>
      <c r="AG10" s="1" t="s">
        <v>18</v>
      </c>
      <c r="AH10" s="1"/>
      <c r="AI10" s="1" t="s">
        <v>20</v>
      </c>
      <c r="AJ10" s="4">
        <v>12084</v>
      </c>
      <c r="AK10" s="5">
        <v>31754</v>
      </c>
      <c r="AL10" s="5">
        <v>31754</v>
      </c>
      <c r="AM10" s="1"/>
      <c r="AN10" s="6">
        <v>300</v>
      </c>
      <c r="AO10" s="6">
        <v>313</v>
      </c>
    </row>
  </sheetData>
  <conditionalFormatting sqref="A1">
    <cfRule type="duplicateValues" dxfId="1" priority="2"/>
  </conditionalFormatting>
  <conditionalFormatting sqref="B1:B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Ball Valve socket weld</vt:lpstr>
      <vt:lpstr>Valmet Actuator</vt:lpstr>
      <vt:lpstr>Valmet LSB</vt:lpstr>
      <vt:lpstr>SOV</vt:lpstr>
      <vt:lpstr>AFR</vt:lpstr>
      <vt:lpstr>MOR</vt:lpstr>
      <vt:lpstr>POSITIONER</vt:lpstr>
      <vt:lpstr>Ball valve flanged end</vt:lpstr>
      <vt:lpstr>MARSH ELECTRICAL ACTUATOR</vt:lpstr>
      <vt:lpstr>BUTTERFLY VALVE PN10</vt:lpstr>
      <vt:lpstr>BUTTERFLY VALVE PN16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2026-07-21T04:49:20Z</dcterms:modified>
</cp:coreProperties>
</file>